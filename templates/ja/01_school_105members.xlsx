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6f42e061d349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名簿" sheetId="1" r:id="R4ac68cebe2b14c65"/>
    <x:sheet xmlns:r="http://schemas.openxmlformats.org/officeDocument/2006/relationships" name="使い方" sheetId="2" r:id="R35bda1f7f276459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F2937"/>
      <x:name val="Carlito"/>
    </x:font>
    <x:font>
      <x:b/>
      <x:sz val="14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F5597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2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3" fillId="2" borderId="0" xfId="0" applyNumberFormat="1" applyFont="1" applyFill="1" applyBorder="1" applyAlignment="1">
      <x:alignment horizontal="center" wrapText="1"/>
    </x:xf>
    <x:xf numFmtId="0" fontId="4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7185fedd0f4ccb" /><Relationship Type="http://schemas.openxmlformats.org/officeDocument/2006/relationships/theme" Target="/xl/theme/theme1.xml" Id="R529d57b55d1e45a4" /><Relationship Type="http://schemas.openxmlformats.org/officeDocument/2006/relationships/sharedStrings" Target="/xl/sharedStrings.xml" Id="R4c59551b139a43bd" /><Relationship Type="http://schemas.openxmlformats.org/officeDocument/2006/relationships/worksheet" Target="/xl/worksheets/sheet1.xml" Id="R4ac68cebe2b14c65" /><Relationship Type="http://schemas.openxmlformats.org/officeDocument/2006/relationships/worksheet" Target="/xl/worksheets/sheet2.xml" Id="R35bda1f7f276459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9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4" hidden="0" customWidth="1"/>
    <x:col min="13" max="13" width="12" hidden="0" customWidth="1"/>
    <x:col min="14" max="14" width="10" hidden="0" customWidth="1"/>
    <x:col min="15" max="15" width="22" hidden="0" customWidth="1"/>
  </x:cols>
  <x:sheetData>
    <x:row r="1">
      <x:c r="A1" s="14" t="str">
        <x:v>名前</x:v>
      </x:c>
      <x:c r="B1" s="14" t="str">
        <x:v>性別</x:v>
      </x:c>
      <x:c r="C1" s="14" t="str">
        <x:v>旧クラス</x:v>
      </x:c>
      <x:c r="D1" s="14" t="str">
        <x:v>リーダー</x:v>
      </x:c>
      <x:c r="E1" s="14" t="str">
        <x:v>国語</x:v>
      </x:c>
      <x:c r="F1" s="14" t="str">
        <x:v>数学</x:v>
      </x:c>
      <x:c r="G1" s="14" t="str">
        <x:v>英語</x:v>
      </x:c>
      <x:c r="H1" s="14" t="str">
        <x:v>理科</x:v>
      </x:c>
      <x:c r="I1" s="14" t="str">
        <x:v>社会</x:v>
      </x:c>
      <x:c r="J1" s="14" t="str">
        <x:v>総合成績</x:v>
      </x:c>
      <x:c r="K1" s="14" t="str">
        <x:v>要配慮</x:v>
      </x:c>
      <x:c r="L1" s="14" t="str">
        <x:v>出身小学校</x:v>
      </x:c>
      <x:c r="M1" s="14" t="str">
        <x:v>委員会経験</x:v>
      </x:c>
      <x:c r="N1" s="14" t="str">
        <x:v>運動</x:v>
      </x:c>
      <x:c r="O1" s="14" t="str">
        <x:v>備考</x:v>
      </x:c>
    </x:row>
    <x:row r="2">
      <x:c r="A2" s="15" t="str">
        <x:v>id</x:v>
      </x:c>
      <x:c r="B2" s="15" t="str">
        <x:v>category</x:v>
      </x:c>
      <x:c r="C2" s="15" t="str">
        <x:v>category</x:v>
      </x:c>
      <x:c r="D2" s="15" t="str">
        <x:v>ordinal</x:v>
      </x:c>
      <x:c r="E2" s="15" t="str">
        <x:v>numeric</x:v>
      </x:c>
      <x:c r="F2" s="15" t="str">
        <x:v>numeric</x:v>
      </x:c>
      <x:c r="G2" s="15" t="str">
        <x:v>numeric</x:v>
      </x:c>
      <x:c r="H2" s="15" t="str">
        <x:v>numeric</x:v>
      </x:c>
      <x:c r="I2" s="15" t="str">
        <x:v>numeric</x:v>
      </x:c>
      <x:c r="J2" s="15" t="str">
        <x:v>numeric</x:v>
      </x:c>
      <x:c r="K2" s="15" t="str">
        <x:v>boolean</x:v>
      </x:c>
      <x:c r="L2" s="15" t="str">
        <x:v>category</x:v>
      </x:c>
      <x:c r="M2" s="15" t="str">
        <x:v>boolean</x:v>
      </x:c>
      <x:c r="N2" s="15" t="str">
        <x:v>ordinal</x:v>
      </x:c>
      <x:c r="O2" s="15" t="str">
        <x:v>ignore</x:v>
      </x:c>
    </x:row>
    <x:row r="3">
      <x:c r="A3" s="16" t="str">
        <x:v>田中 悠斗</x:v>
      </x:c>
      <x:c r="B3" s="16" t="str">
        <x:v>男</x:v>
      </x:c>
      <x:c r="C3" s="16" t="str">
        <x:v>1組</x:v>
      </x:c>
      <x:c r="D3" s="16" t="n">
        <x:v>3</x:v>
      </x:c>
      <x:c r="E3" s="16" t="n">
        <x:v>90</x:v>
      </x:c>
      <x:c r="F3" s="16" t="n">
        <x:v>99</x:v>
      </x:c>
      <x:c r="G3" s="16" t="n">
        <x:v>94</x:v>
      </x:c>
      <x:c r="H3" s="16" t="n">
        <x:v>88</x:v>
      </x:c>
      <x:c r="I3" s="16" t="n">
        <x:v>92</x:v>
      </x:c>
      <x:c r="J3" s="16" t="n">
        <x:f>ROUND(AVERAGE(E3:I3),1)</x:f>
        <x:v>92.6</x:v>
      </x:c>
      <x:c r="K3" s="16" t="str">
        <x:v>いいえ</x:v>
      </x:c>
      <x:c r="L3" s="16" t="str">
        <x:v>青葉小</x:v>
      </x:c>
      <x:c r="M3" s="16" t="str">
        <x:v>いいえ</x:v>
      </x:c>
      <x:c r="N3" s="16" t="n">
        <x:v>4</x:v>
      </x:c>
      <x:c r="O3" s="16" t="str"/>
    </x:row>
    <x:row r="4">
      <x:c r="A4" s="16" t="str">
        <x:v>佐藤 美咲</x:v>
      </x:c>
      <x:c r="B4" s="16" t="str">
        <x:v>女</x:v>
      </x:c>
      <x:c r="C4" s="16" t="str">
        <x:v>2組</x:v>
      </x:c>
      <x:c r="D4" s="16" t="n">
        <x:v>1</x:v>
      </x:c>
      <x:c r="E4" s="16" t="n">
        <x:v>61</x:v>
      </x:c>
      <x:c r="F4" s="16" t="n">
        <x:v>51</x:v>
      </x:c>
      <x:c r="G4" s="16" t="n">
        <x:v>58</x:v>
      </x:c>
      <x:c r="H4" s="16" t="n">
        <x:v>56</x:v>
      </x:c>
      <x:c r="I4" s="16" t="n">
        <x:v>59</x:v>
      </x:c>
      <x:c r="J4" s="16" t="n">
        <x:f>ROUND(AVERAGE(E4:I4),1)</x:f>
        <x:v>57</x:v>
      </x:c>
      <x:c r="K4" s="16" t="str">
        <x:v>いいえ</x:v>
      </x:c>
      <x:c r="L4" s="16" t="str">
        <x:v>中央小</x:v>
      </x:c>
      <x:c r="M4" s="16" t="str">
        <x:v>はい</x:v>
      </x:c>
      <x:c r="N4" s="16" t="n">
        <x:v>2</x:v>
      </x:c>
      <x:c r="O4" s="16" t="str"/>
    </x:row>
    <x:row r="5">
      <x:c r="A5" s="16" t="str">
        <x:v>鈴木 蓮</x:v>
      </x:c>
      <x:c r="B5" s="16" t="str">
        <x:v>男</x:v>
      </x:c>
      <x:c r="C5" s="16" t="str">
        <x:v>3組</x:v>
      </x:c>
      <x:c r="D5" s="16" t="n">
        <x:v>1</x:v>
      </x:c>
      <x:c r="E5" s="16" t="n">
        <x:v>74</x:v>
      </x:c>
      <x:c r="F5" s="16" t="n">
        <x:v>85</x:v>
      </x:c>
      <x:c r="G5" s="16" t="n">
        <x:v>82</x:v>
      </x:c>
      <x:c r="H5" s="16" t="n">
        <x:v>81</x:v>
      </x:c>
      <x:c r="I5" s="16" t="n">
        <x:v>76</x:v>
      </x:c>
      <x:c r="J5" s="16" t="n">
        <x:f>ROUND(AVERAGE(E5:I5),1)</x:f>
        <x:v>79.6</x:v>
      </x:c>
      <x:c r="K5" s="16" t="str">
        <x:v>いいえ</x:v>
      </x:c>
      <x:c r="L5" s="16" t="str">
        <x:v>みなと小</x:v>
      </x:c>
      <x:c r="M5" s="16" t="str">
        <x:v>はい</x:v>
      </x:c>
      <x:c r="N5" s="16" t="n">
        <x:v>5</x:v>
      </x:c>
      <x:c r="O5" s="16" t="str"/>
    </x:row>
    <x:row r="6">
      <x:c r="A6" s="16" t="str">
        <x:v>高橋 結衣</x:v>
      </x:c>
      <x:c r="B6" s="16" t="str">
        <x:v>女</x:v>
      </x:c>
      <x:c r="C6" s="16" t="str">
        <x:v>1組</x:v>
      </x:c>
      <x:c r="D6" s="16" t="n">
        <x:v>3</x:v>
      </x:c>
      <x:c r="E6" s="16" t="n">
        <x:v>85</x:v>
      </x:c>
      <x:c r="F6" s="16" t="n">
        <x:v>86</x:v>
      </x:c>
      <x:c r="G6" s="16" t="n">
        <x:v>90</x:v>
      </x:c>
      <x:c r="H6" s="16" t="n">
        <x:v>90</x:v>
      </x:c>
      <x:c r="I6" s="16" t="n">
        <x:v>82</x:v>
      </x:c>
      <x:c r="J6" s="16" t="n">
        <x:f>ROUND(AVERAGE(E6:I6),1)</x:f>
        <x:v>86.6</x:v>
      </x:c>
      <x:c r="K6" s="16" t="str">
        <x:v>いいえ</x:v>
      </x:c>
      <x:c r="L6" s="16" t="str">
        <x:v>桜台小</x:v>
      </x:c>
      <x:c r="M6" s="16" t="str">
        <x:v>いいえ</x:v>
      </x:c>
      <x:c r="N6" s="16" t="n">
        <x:v>1</x:v>
      </x:c>
      <x:c r="O6" s="16" t="str"/>
    </x:row>
    <x:row r="7">
      <x:c r="A7" s="16" t="str">
        <x:v>伊藤 大翔</x:v>
      </x:c>
      <x:c r="B7" s="16" t="str">
        <x:v>男</x:v>
      </x:c>
      <x:c r="C7" s="16" t="str">
        <x:v>2組</x:v>
      </x:c>
      <x:c r="D7" s="16" t="n">
        <x:v>1</x:v>
      </x:c>
      <x:c r="E7" s="16" t="n">
        <x:v>69</x:v>
      </x:c>
      <x:c r="F7" s="16" t="n">
        <x:v>76</x:v>
      </x:c>
      <x:c r="G7" s="16" t="n">
        <x:v>71</x:v>
      </x:c>
      <x:c r="H7" s="16" t="n">
        <x:v>69</x:v>
      </x:c>
      <x:c r="I7" s="16" t="n">
        <x:v>72</x:v>
      </x:c>
      <x:c r="J7" s="16" t="n">
        <x:f>ROUND(AVERAGE(E7:I7),1)</x:f>
        <x:v>71.4</x:v>
      </x:c>
      <x:c r="K7" s="16" t="str">
        <x:v>いいえ</x:v>
      </x:c>
      <x:c r="L7" s="16" t="str">
        <x:v>若葉小</x:v>
      </x:c>
      <x:c r="M7" s="16" t="str">
        <x:v>いいえ</x:v>
      </x:c>
      <x:c r="N7" s="16" t="n">
        <x:v>4</x:v>
      </x:c>
      <x:c r="O7" s="16" t="str"/>
    </x:row>
    <x:row r="8">
      <x:c r="A8" s="16" t="str">
        <x:v>山本 葵</x:v>
      </x:c>
      <x:c r="B8" s="16" t="str">
        <x:v>女</x:v>
      </x:c>
      <x:c r="C8" s="16" t="str">
        <x:v>3組</x:v>
      </x:c>
      <x:c r="D8" s="16" t="n">
        <x:v>1</x:v>
      </x:c>
      <x:c r="E8" s="16" t="n">
        <x:v>49</x:v>
      </x:c>
      <x:c r="F8" s="16" t="n">
        <x:v>47</x:v>
      </x:c>
      <x:c r="G8" s="16" t="n">
        <x:v>51</x:v>
      </x:c>
      <x:c r="H8" s="16" t="n">
        <x:v>49</x:v>
      </x:c>
      <x:c r="I8" s="16" t="n">
        <x:v>58</x:v>
      </x:c>
      <x:c r="J8" s="16" t="n">
        <x:f>ROUND(AVERAGE(E8:I8),1)</x:f>
        <x:v>50.8</x:v>
      </x:c>
      <x:c r="K8" s="16" t="str">
        <x:v>いいえ</x:v>
      </x:c>
      <x:c r="L8" s="16" t="str">
        <x:v>青葉小</x:v>
      </x:c>
      <x:c r="M8" s="16" t="str">
        <x:v>いいえ</x:v>
      </x:c>
      <x:c r="N8" s="16" t="n">
        <x:v>4</x:v>
      </x:c>
      <x:c r="O8" s="16" t="str"/>
    </x:row>
    <x:row r="9">
      <x:c r="A9" s="16" t="str">
        <x:v>中村 陽太</x:v>
      </x:c>
      <x:c r="B9" s="16" t="str">
        <x:v>男</x:v>
      </x:c>
      <x:c r="C9" s="16" t="str">
        <x:v>1組</x:v>
      </x:c>
      <x:c r="D9" s="16" t="n">
        <x:v>3</x:v>
      </x:c>
      <x:c r="E9" s="16" t="n">
        <x:v>64</x:v>
      </x:c>
      <x:c r="F9" s="16" t="n">
        <x:v>69</x:v>
      </x:c>
      <x:c r="G9" s="16" t="n">
        <x:v>66</x:v>
      </x:c>
      <x:c r="H9" s="16" t="n">
        <x:v>61</x:v>
      </x:c>
      <x:c r="I9" s="16" t="n">
        <x:v>73</x:v>
      </x:c>
      <x:c r="J9" s="16" t="n">
        <x:f>ROUND(AVERAGE(E9:I9),1)</x:f>
        <x:v>66.6</x:v>
      </x:c>
      <x:c r="K9" s="16" t="str">
        <x:v>いいえ</x:v>
      </x:c>
      <x:c r="L9" s="16" t="str">
        <x:v>中央小</x:v>
      </x:c>
      <x:c r="M9" s="16" t="str">
        <x:v>いいえ</x:v>
      </x:c>
      <x:c r="N9" s="16" t="n">
        <x:v>5</x:v>
      </x:c>
      <x:c r="O9" s="16" t="str"/>
    </x:row>
    <x:row r="10">
      <x:c r="A10" s="16" t="str">
        <x:v>小林 さくら</x:v>
      </x:c>
      <x:c r="B10" s="16" t="str">
        <x:v>女</x:v>
      </x:c>
      <x:c r="C10" s="16" t="str">
        <x:v>2組</x:v>
      </x:c>
      <x:c r="D10" s="16" t="n">
        <x:v>2</x:v>
      </x:c>
      <x:c r="E10" s="16" t="n">
        <x:v>94</x:v>
      </x:c>
      <x:c r="F10" s="16" t="n">
        <x:v>98</x:v>
      </x:c>
      <x:c r="G10" s="16" t="n">
        <x:v>93</x:v>
      </x:c>
      <x:c r="H10" s="16" t="n">
        <x:v>97</x:v>
      </x:c>
      <x:c r="I10" s="16" t="n">
        <x:v>93</x:v>
      </x:c>
      <x:c r="J10" s="16" t="n">
        <x:f>ROUND(AVERAGE(E10:I10),1)</x:f>
        <x:v>95</x:v>
      </x:c>
      <x:c r="K10" s="16" t="str">
        <x:v>いいえ</x:v>
      </x:c>
      <x:c r="L10" s="16" t="str">
        <x:v>みなと小</x:v>
      </x:c>
      <x:c r="M10" s="16" t="str">
        <x:v>いいえ</x:v>
      </x:c>
      <x:c r="N10" s="16" t="n">
        <x:v>3</x:v>
      </x:c>
      <x:c r="O10" s="16" t="str"/>
    </x:row>
    <x:row r="11">
      <x:c r="A11" s="16" t="str">
        <x:v>加藤 颯太</x:v>
      </x:c>
      <x:c r="B11" s="16" t="str">
        <x:v>男</x:v>
      </x:c>
      <x:c r="C11" s="16" t="str">
        <x:v>3組</x:v>
      </x:c>
      <x:c r="D11" s="16" t="n">
        <x:v>3</x:v>
      </x:c>
      <x:c r="E11" s="16" t="n">
        <x:v>43</x:v>
      </x:c>
      <x:c r="F11" s="16" t="n">
        <x:v>50</x:v>
      </x:c>
      <x:c r="G11" s="16" t="n">
        <x:v>56</x:v>
      </x:c>
      <x:c r="H11" s="16" t="n">
        <x:v>45</x:v>
      </x:c>
      <x:c r="I11" s="16" t="n">
        <x:v>53</x:v>
      </x:c>
      <x:c r="J11" s="16" t="n">
        <x:f>ROUND(AVERAGE(E11:I11),1)</x:f>
        <x:v>49.4</x:v>
      </x:c>
      <x:c r="K11" s="16" t="str">
        <x:v>いいえ</x:v>
      </x:c>
      <x:c r="L11" s="16" t="str">
        <x:v>桜台小</x:v>
      </x:c>
      <x:c r="M11" s="16" t="str">
        <x:v>いいえ</x:v>
      </x:c>
      <x:c r="N11" s="16" t="n">
        <x:v>3</x:v>
      </x:c>
      <x:c r="O11" s="16" t="str"/>
    </x:row>
    <x:row r="12">
      <x:c r="A12" s="16" t="str">
        <x:v>吉田 凛</x:v>
      </x:c>
      <x:c r="B12" s="16" t="str">
        <x:v>女</x:v>
      </x:c>
      <x:c r="C12" s="16" t="str">
        <x:v>1組</x:v>
      </x:c>
      <x:c r="D12" s="16" t="n">
        <x:v>4</x:v>
      </x:c>
      <x:c r="E12" s="16" t="n">
        <x:v>85</x:v>
      </x:c>
      <x:c r="F12" s="16" t="n">
        <x:v>87</x:v>
      </x:c>
      <x:c r="G12" s="16" t="n">
        <x:v>88</x:v>
      </x:c>
      <x:c r="H12" s="16" t="n">
        <x:v>83</x:v>
      </x:c>
      <x:c r="I12" s="16" t="n">
        <x:v>90</x:v>
      </x:c>
      <x:c r="J12" s="16" t="n">
        <x:f>ROUND(AVERAGE(E12:I12),1)</x:f>
        <x:v>86.6</x:v>
      </x:c>
      <x:c r="K12" s="16" t="str">
        <x:v>いいえ</x:v>
      </x:c>
      <x:c r="L12" s="16" t="str">
        <x:v>みなと小</x:v>
      </x:c>
      <x:c r="M12" s="16" t="str">
        <x:v>いいえ</x:v>
      </x:c>
      <x:c r="N12" s="16" t="n">
        <x:v>5</x:v>
      </x:c>
      <x:c r="O12" s="16" t="str"/>
    </x:row>
    <x:row r="13">
      <x:c r="A13" s="16" t="str">
        <x:v>山田 悠真</x:v>
      </x:c>
      <x:c r="B13" s="16" t="str">
        <x:v>男</x:v>
      </x:c>
      <x:c r="C13" s="16" t="str">
        <x:v>2組</x:v>
      </x:c>
      <x:c r="D13" s="16" t="n">
        <x:v>3</x:v>
      </x:c>
      <x:c r="E13" s="16" t="n">
        <x:v>71</x:v>
      </x:c>
      <x:c r="F13" s="16" t="n">
        <x:v>75</x:v>
      </x:c>
      <x:c r="G13" s="16" t="n">
        <x:v>73</x:v>
      </x:c>
      <x:c r="H13" s="16" t="n">
        <x:v>83</x:v>
      </x:c>
      <x:c r="I13" s="16" t="n">
        <x:v>81</x:v>
      </x:c>
      <x:c r="J13" s="16" t="n">
        <x:f>ROUND(AVERAGE(E13:I13),1)</x:f>
        <x:v>76.6</x:v>
      </x:c>
      <x:c r="K13" s="16" t="str">
        <x:v>いいえ</x:v>
      </x:c>
      <x:c r="L13" s="16" t="str">
        <x:v>桜台小</x:v>
      </x:c>
      <x:c r="M13" s="16" t="str">
        <x:v>はい</x:v>
      </x:c>
      <x:c r="N13" s="16" t="n">
        <x:v>3</x:v>
      </x:c>
      <x:c r="O13" s="16" t="str"/>
    </x:row>
    <x:row r="14">
      <x:c r="A14" s="16" t="str">
        <x:v>松本 結菜</x:v>
      </x:c>
      <x:c r="B14" s="16" t="str">
        <x:v>女</x:v>
      </x:c>
      <x:c r="C14" s="16" t="str">
        <x:v>3組</x:v>
      </x:c>
      <x:c r="D14" s="16" t="n">
        <x:v>3</x:v>
      </x:c>
      <x:c r="E14" s="16" t="n">
        <x:v>91</x:v>
      </x:c>
      <x:c r="F14" s="16" t="n">
        <x:v>86</x:v>
      </x:c>
      <x:c r="G14" s="16" t="n">
        <x:v>88</x:v>
      </x:c>
      <x:c r="H14" s="16" t="n">
        <x:v>81</x:v>
      </x:c>
      <x:c r="I14" s="16" t="n">
        <x:v>89</x:v>
      </x:c>
      <x:c r="J14" s="16" t="n">
        <x:f>ROUND(AVERAGE(E14:I14),1)</x:f>
        <x:v>87</x:v>
      </x:c>
      <x:c r="K14" s="16" t="str">
        <x:v>いいえ</x:v>
      </x:c>
      <x:c r="L14" s="16" t="str">
        <x:v>若葉小</x:v>
      </x:c>
      <x:c r="M14" s="16" t="str">
        <x:v>いいえ</x:v>
      </x:c>
      <x:c r="N14" s="16" t="n">
        <x:v>1</x:v>
      </x:c>
      <x:c r="O14" s="16" t="str"/>
    </x:row>
    <x:row r="15">
      <x:c r="A15" s="16" t="str">
        <x:v>井上 陸</x:v>
      </x:c>
      <x:c r="B15" s="16" t="str">
        <x:v>男</x:v>
      </x:c>
      <x:c r="C15" s="16" t="str">
        <x:v>1組</x:v>
      </x:c>
      <x:c r="D15" s="16" t="n">
        <x:v>3</x:v>
      </x:c>
      <x:c r="E15" s="16" t="n">
        <x:v>73</x:v>
      </x:c>
      <x:c r="F15" s="16" t="n">
        <x:v>75</x:v>
      </x:c>
      <x:c r="G15" s="16" t="n">
        <x:v>80</x:v>
      </x:c>
      <x:c r="H15" s="16" t="n">
        <x:v>77</x:v>
      </x:c>
      <x:c r="I15" s="16" t="n">
        <x:v>81</x:v>
      </x:c>
      <x:c r="J15" s="16" t="n">
        <x:f>ROUND(AVERAGE(E15:I15),1)</x:f>
        <x:v>77.2</x:v>
      </x:c>
      <x:c r="K15" s="16" t="str">
        <x:v>いいえ</x:v>
      </x:c>
      <x:c r="L15" s="16" t="str">
        <x:v>青葉小</x:v>
      </x:c>
      <x:c r="M15" s="16" t="str">
        <x:v>はい</x:v>
      </x:c>
      <x:c r="N15" s="16" t="n">
        <x:v>2</x:v>
      </x:c>
      <x:c r="O15" s="16" t="str"/>
    </x:row>
    <x:row r="16">
      <x:c r="A16" s="16" t="str">
        <x:v>木村 美月</x:v>
      </x:c>
      <x:c r="B16" s="16" t="str">
        <x:v>女</x:v>
      </x:c>
      <x:c r="C16" s="16" t="str">
        <x:v>2組</x:v>
      </x:c>
      <x:c r="D16" s="16" t="n">
        <x:v>1</x:v>
      </x:c>
      <x:c r="E16" s="16" t="n">
        <x:v>57</x:v>
      </x:c>
      <x:c r="F16" s="16" t="n">
        <x:v>64</x:v>
      </x:c>
      <x:c r="G16" s="16" t="n">
        <x:v>62</x:v>
      </x:c>
      <x:c r="H16" s="16" t="n">
        <x:v>56</x:v>
      </x:c>
      <x:c r="I16" s="16" t="n">
        <x:v>58</x:v>
      </x:c>
      <x:c r="J16" s="16" t="n">
        <x:f>ROUND(AVERAGE(E16:I16),1)</x:f>
        <x:v>59.4</x:v>
      </x:c>
      <x:c r="K16" s="16" t="str">
        <x:v>いいえ</x:v>
      </x:c>
      <x:c r="L16" s="16" t="str">
        <x:v>中央小</x:v>
      </x:c>
      <x:c r="M16" s="16" t="str">
        <x:v>はい</x:v>
      </x:c>
      <x:c r="N16" s="16" t="n">
        <x:v>3</x:v>
      </x:c>
      <x:c r="O16" s="16" t="str"/>
    </x:row>
    <x:row r="17">
      <x:c r="A17" s="16" t="str">
        <x:v>林 拓海</x:v>
      </x:c>
      <x:c r="B17" s="16" t="str">
        <x:v>男</x:v>
      </x:c>
      <x:c r="C17" s="16" t="str">
        <x:v>3組</x:v>
      </x:c>
      <x:c r="D17" s="16" t="n">
        <x:v>2</x:v>
      </x:c>
      <x:c r="E17" s="16" t="n">
        <x:v>69</x:v>
      </x:c>
      <x:c r="F17" s="16" t="n">
        <x:v>70</x:v>
      </x:c>
      <x:c r="G17" s="16" t="n">
        <x:v>65</x:v>
      </x:c>
      <x:c r="H17" s="16" t="n">
        <x:v>68</x:v>
      </x:c>
      <x:c r="I17" s="16" t="n">
        <x:v>63</x:v>
      </x:c>
      <x:c r="J17" s="16" t="n">
        <x:f>ROUND(AVERAGE(E17:I17),1)</x:f>
        <x:v>67</x:v>
      </x:c>
      <x:c r="K17" s="16" t="str">
        <x:v>いいえ</x:v>
      </x:c>
      <x:c r="L17" s="16" t="str">
        <x:v>みなと小</x:v>
      </x:c>
      <x:c r="M17" s="16" t="str">
        <x:v>いいえ</x:v>
      </x:c>
      <x:c r="N17" s="16" t="n">
        <x:v>2</x:v>
      </x:c>
      <x:c r="O17" s="16" t="str"/>
    </x:row>
    <x:row r="18">
      <x:c r="A18" s="16" t="str">
        <x:v>清水 心春</x:v>
      </x:c>
      <x:c r="B18" s="16" t="str">
        <x:v>女</x:v>
      </x:c>
      <x:c r="C18" s="16" t="str">
        <x:v>1組</x:v>
      </x:c>
      <x:c r="D18" s="16" t="n">
        <x:v>2</x:v>
      </x:c>
      <x:c r="E18" s="16" t="n">
        <x:v>91</x:v>
      </x:c>
      <x:c r="F18" s="16" t="n">
        <x:v>87</x:v>
      </x:c>
      <x:c r="G18" s="16" t="n">
        <x:v>90</x:v>
      </x:c>
      <x:c r="H18" s="16" t="n">
        <x:v>91</x:v>
      </x:c>
      <x:c r="I18" s="16" t="n">
        <x:v>84</x:v>
      </x:c>
      <x:c r="J18" s="16" t="n">
        <x:f>ROUND(AVERAGE(E18:I18),1)</x:f>
        <x:v>88.6</x:v>
      </x:c>
      <x:c r="K18" s="16" t="str">
        <x:v>いいえ</x:v>
      </x:c>
      <x:c r="L18" s="16" t="str">
        <x:v>桜台小</x:v>
      </x:c>
      <x:c r="M18" s="16" t="str">
        <x:v>はい</x:v>
      </x:c>
      <x:c r="N18" s="16" t="n">
        <x:v>2</x:v>
      </x:c>
      <x:c r="O18" s="16" t="str"/>
    </x:row>
    <x:row r="19">
      <x:c r="A19" s="16" t="str">
        <x:v>斎藤 湊</x:v>
      </x:c>
      <x:c r="B19" s="16" t="str">
        <x:v>男</x:v>
      </x:c>
      <x:c r="C19" s="16" t="str">
        <x:v>2組</x:v>
      </x:c>
      <x:c r="D19" s="16" t="n">
        <x:v>2</x:v>
      </x:c>
      <x:c r="E19" s="16" t="n">
        <x:v>63</x:v>
      </x:c>
      <x:c r="F19" s="16" t="n">
        <x:v>62</x:v>
      </x:c>
      <x:c r="G19" s="16" t="n">
        <x:v>70</x:v>
      </x:c>
      <x:c r="H19" s="16" t="n">
        <x:v>65</x:v>
      </x:c>
      <x:c r="I19" s="16" t="n">
        <x:v>73</x:v>
      </x:c>
      <x:c r="J19" s="16" t="n">
        <x:f>ROUND(AVERAGE(E19:I19),1)</x:f>
        <x:v>66.6</x:v>
      </x:c>
      <x:c r="K19" s="16" t="str">
        <x:v>いいえ</x:v>
      </x:c>
      <x:c r="L19" s="16" t="str">
        <x:v>若葉小</x:v>
      </x:c>
      <x:c r="M19" s="16" t="str">
        <x:v>はい</x:v>
      </x:c>
      <x:c r="N19" s="16" t="n">
        <x:v>5</x:v>
      </x:c>
      <x:c r="O19" s="16" t="str"/>
    </x:row>
    <x:row r="20">
      <x:c r="A20" s="16" t="str">
        <x:v>森 陽菜</x:v>
      </x:c>
      <x:c r="B20" s="16" t="str">
        <x:v>女</x:v>
      </x:c>
      <x:c r="C20" s="16" t="str">
        <x:v>3組</x:v>
      </x:c>
      <x:c r="D20" s="16" t="n">
        <x:v>4</x:v>
      </x:c>
      <x:c r="E20" s="16" t="n">
        <x:v>67</x:v>
      </x:c>
      <x:c r="F20" s="16" t="n">
        <x:v>75</x:v>
      </x:c>
      <x:c r="G20" s="16" t="n">
        <x:v>76</x:v>
      </x:c>
      <x:c r="H20" s="16" t="n">
        <x:v>72</x:v>
      </x:c>
      <x:c r="I20" s="16" t="n">
        <x:v>73</x:v>
      </x:c>
      <x:c r="J20" s="16" t="n">
        <x:f>ROUND(AVERAGE(E20:I20),1)</x:f>
        <x:v>72.6</x:v>
      </x:c>
      <x:c r="K20" s="16" t="str">
        <x:v>いいえ</x:v>
      </x:c>
      <x:c r="L20" s="16" t="str">
        <x:v>青葉小</x:v>
      </x:c>
      <x:c r="M20" s="16" t="str">
        <x:v>はい</x:v>
      </x:c>
      <x:c r="N20" s="16" t="n">
        <x:v>3</x:v>
      </x:c>
      <x:c r="O20" s="16" t="str"/>
    </x:row>
    <x:row r="21">
      <x:c r="A21" s="16" t="str">
        <x:v>池田 蒼</x:v>
      </x:c>
      <x:c r="B21" s="16" t="str">
        <x:v>男</x:v>
      </x:c>
      <x:c r="C21" s="16" t="str">
        <x:v>1組</x:v>
      </x:c>
      <x:c r="D21" s="16" t="n">
        <x:v>1</x:v>
      </x:c>
      <x:c r="E21" s="16" t="n">
        <x:v>87</x:v>
      </x:c>
      <x:c r="F21" s="16" t="n">
        <x:v>84</x:v>
      </x:c>
      <x:c r="G21" s="16" t="n">
        <x:v>90</x:v>
      </x:c>
      <x:c r="H21" s="16" t="n">
        <x:v>90</x:v>
      </x:c>
      <x:c r="I21" s="16" t="n">
        <x:v>90</x:v>
      </x:c>
      <x:c r="J21" s="16" t="n">
        <x:f>ROUND(AVERAGE(E21:I21),1)</x:f>
        <x:v>88.2</x:v>
      </x:c>
      <x:c r="K21" s="16" t="str">
        <x:v>いいえ</x:v>
      </x:c>
      <x:c r="L21" s="16" t="str">
        <x:v>若葉小</x:v>
      </x:c>
      <x:c r="M21" s="16" t="str">
        <x:v>いいえ</x:v>
      </x:c>
      <x:c r="N21" s="16" t="n">
        <x:v>3</x:v>
      </x:c>
      <x:c r="O21" s="16" t="str"/>
    </x:row>
    <x:row r="22">
      <x:c r="A22" s="16" t="str">
        <x:v>橋本 莉子</x:v>
      </x:c>
      <x:c r="B22" s="16" t="str">
        <x:v>女</x:v>
      </x:c>
      <x:c r="C22" s="16" t="str">
        <x:v>2組</x:v>
      </x:c>
      <x:c r="D22" s="16" t="n">
        <x:v>2</x:v>
      </x:c>
      <x:c r="E22" s="16" t="n">
        <x:v>92</x:v>
      </x:c>
      <x:c r="F22" s="16" t="n">
        <x:v>80</x:v>
      </x:c>
      <x:c r="G22" s="16" t="n">
        <x:v>99</x:v>
      </x:c>
      <x:c r="H22" s="16" t="n">
        <x:v>99</x:v>
      </x:c>
      <x:c r="I22" s="16" t="n">
        <x:v>82</x:v>
      </x:c>
      <x:c r="J22" s="16" t="n">
        <x:f>ROUND(AVERAGE(E22:I22),1)</x:f>
        <x:v>90.4</x:v>
      </x:c>
      <x:c r="K22" s="16" t="str">
        <x:v>いいえ</x:v>
      </x:c>
      <x:c r="L22" s="16" t="str">
        <x:v>青葉小</x:v>
      </x:c>
      <x:c r="M22" s="16" t="str">
        <x:v>いいえ</x:v>
      </x:c>
      <x:c r="N22" s="16" t="n">
        <x:v>2</x:v>
      </x:c>
      <x:c r="O22" s="16" t="str"/>
    </x:row>
    <x:row r="23">
      <x:c r="A23" s="16" t="str">
        <x:v>阿部 樹</x:v>
      </x:c>
      <x:c r="B23" s="16" t="str">
        <x:v>男</x:v>
      </x:c>
      <x:c r="C23" s="16" t="str">
        <x:v>3組</x:v>
      </x:c>
      <x:c r="D23" s="16" t="n">
        <x:v>3</x:v>
      </x:c>
      <x:c r="E23" s="16" t="n">
        <x:v>95</x:v>
      </x:c>
      <x:c r="F23" s="16" t="n">
        <x:v>87</x:v>
      </x:c>
      <x:c r="G23" s="16" t="n">
        <x:v>93</x:v>
      </x:c>
      <x:c r="H23" s="16" t="n">
        <x:v>99</x:v>
      </x:c>
      <x:c r="I23" s="16" t="n">
        <x:v>87</x:v>
      </x:c>
      <x:c r="J23" s="16" t="n">
        <x:f>ROUND(AVERAGE(E23:I23),1)</x:f>
        <x:v>92.2</x:v>
      </x:c>
      <x:c r="K23" s="16" t="str">
        <x:v>いいえ</x:v>
      </x:c>
      <x:c r="L23" s="16" t="str">
        <x:v>中央小</x:v>
      </x:c>
      <x:c r="M23" s="16" t="str">
        <x:v>いいえ</x:v>
      </x:c>
      <x:c r="N23" s="16" t="n">
        <x:v>2</x:v>
      </x:c>
      <x:c r="O23" s="16" t="str"/>
    </x:row>
    <x:row r="24">
      <x:c r="A24" s="16" t="str">
        <x:v>石井 彩乃</x:v>
      </x:c>
      <x:c r="B24" s="16" t="str">
        <x:v>女</x:v>
      </x:c>
      <x:c r="C24" s="16" t="str">
        <x:v>1組</x:v>
      </x:c>
      <x:c r="D24" s="16" t="n">
        <x:v>1</x:v>
      </x:c>
      <x:c r="E24" s="16" t="n">
        <x:v>56</x:v>
      </x:c>
      <x:c r="F24" s="16" t="n">
        <x:v>56</x:v>
      </x:c>
      <x:c r="G24" s="16" t="n">
        <x:v>58</x:v>
      </x:c>
      <x:c r="H24" s="16" t="n">
        <x:v>53</x:v>
      </x:c>
      <x:c r="I24" s="16" t="n">
        <x:v>54</x:v>
      </x:c>
      <x:c r="J24" s="16" t="n">
        <x:f>ROUND(AVERAGE(E24:I24),1)</x:f>
        <x:v>55.4</x:v>
      </x:c>
      <x:c r="K24" s="16" t="str">
        <x:v>いいえ</x:v>
      </x:c>
      <x:c r="L24" s="16" t="str">
        <x:v>みなと小</x:v>
      </x:c>
      <x:c r="M24" s="16" t="str">
        <x:v>いいえ</x:v>
      </x:c>
      <x:c r="N24" s="16" t="n">
        <x:v>3</x:v>
      </x:c>
      <x:c r="O24" s="16" t="str"/>
    </x:row>
    <x:row r="25">
      <x:c r="A25" s="16" t="str">
        <x:v>山崎 颯</x:v>
      </x:c>
      <x:c r="B25" s="16" t="str">
        <x:v>男</x:v>
      </x:c>
      <x:c r="C25" s="16" t="str">
        <x:v>2組</x:v>
      </x:c>
      <x:c r="D25" s="16" t="n">
        <x:v>2</x:v>
      </x:c>
      <x:c r="E25" s="16" t="n">
        <x:v>67</x:v>
      </x:c>
      <x:c r="F25" s="16" t="n">
        <x:v>64</x:v>
      </x:c>
      <x:c r="G25" s="16" t="n">
        <x:v>81</x:v>
      </x:c>
      <x:c r="H25" s="16" t="n">
        <x:v>75</x:v>
      </x:c>
      <x:c r="I25" s="16" t="n">
        <x:v>76</x:v>
      </x:c>
      <x:c r="J25" s="16" t="n">
        <x:f>ROUND(AVERAGE(E25:I25),1)</x:f>
        <x:v>72.6</x:v>
      </x:c>
      <x:c r="K25" s="16" t="str">
        <x:v>いいえ</x:v>
      </x:c>
      <x:c r="L25" s="16" t="str">
        <x:v>桜台小</x:v>
      </x:c>
      <x:c r="M25" s="16" t="str">
        <x:v>はい</x:v>
      </x:c>
      <x:c r="N25" s="16" t="n">
        <x:v>4</x:v>
      </x:c>
      <x:c r="O25" s="16" t="str"/>
    </x:row>
    <x:row r="26">
      <x:c r="A26" s="16" t="str">
        <x:v>藤田 七海</x:v>
      </x:c>
      <x:c r="B26" s="16" t="str">
        <x:v>女</x:v>
      </x:c>
      <x:c r="C26" s="16" t="str">
        <x:v>3組</x:v>
      </x:c>
      <x:c r="D26" s="16" t="n">
        <x:v>3</x:v>
      </x:c>
      <x:c r="E26" s="16" t="n">
        <x:v>66</x:v>
      </x:c>
      <x:c r="F26" s="16" t="n">
        <x:v>64</x:v>
      </x:c>
      <x:c r="G26" s="16" t="n">
        <x:v>66</x:v>
      </x:c>
      <x:c r="H26" s="16" t="n">
        <x:v>71</x:v>
      </x:c>
      <x:c r="I26" s="16" t="n">
        <x:v>66</x:v>
      </x:c>
      <x:c r="J26" s="16" t="n">
        <x:f>ROUND(AVERAGE(E26:I26),1)</x:f>
        <x:v>66.6</x:v>
      </x:c>
      <x:c r="K26" s="16" t="str">
        <x:v>いいえ</x:v>
      </x:c>
      <x:c r="L26" s="16" t="str">
        <x:v>若葉小</x:v>
      </x:c>
      <x:c r="M26" s="16" t="str">
        <x:v>いいえ</x:v>
      </x:c>
      <x:c r="N26" s="16" t="n">
        <x:v>3</x:v>
      </x:c>
      <x:c r="O26" s="16" t="str"/>
    </x:row>
    <x:row r="27">
      <x:c r="A27" s="16" t="str">
        <x:v>岡田 陽翔</x:v>
      </x:c>
      <x:c r="B27" s="16" t="str">
        <x:v>男</x:v>
      </x:c>
      <x:c r="C27" s="16" t="str">
        <x:v>1組</x:v>
      </x:c>
      <x:c r="D27" s="16" t="n">
        <x:v>1</x:v>
      </x:c>
      <x:c r="E27" s="16" t="n">
        <x:v>64</x:v>
      </x:c>
      <x:c r="F27" s="16" t="n">
        <x:v>66</x:v>
      </x:c>
      <x:c r="G27" s="16" t="n">
        <x:v>74</x:v>
      </x:c>
      <x:c r="H27" s="16" t="n">
        <x:v>61</x:v>
      </x:c>
      <x:c r="I27" s="16" t="n">
        <x:v>76</x:v>
      </x:c>
      <x:c r="J27" s="16" t="n">
        <x:f>ROUND(AVERAGE(E27:I27),1)</x:f>
        <x:v>68.2</x:v>
      </x:c>
      <x:c r="K27" s="16" t="str">
        <x:v>いいえ</x:v>
      </x:c>
      <x:c r="L27" s="16" t="str">
        <x:v>青葉小</x:v>
      </x:c>
      <x:c r="M27" s="16" t="str">
        <x:v>はい</x:v>
      </x:c>
      <x:c r="N27" s="16" t="n">
        <x:v>4</x:v>
      </x:c>
      <x:c r="O27" s="16" t="str"/>
    </x:row>
    <x:row r="28">
      <x:c r="A28" s="16" t="str">
        <x:v>後藤 愛莉</x:v>
      </x:c>
      <x:c r="B28" s="16" t="str">
        <x:v>女</x:v>
      </x:c>
      <x:c r="C28" s="16" t="str">
        <x:v>2組</x:v>
      </x:c>
      <x:c r="D28" s="16" t="n">
        <x:v>2</x:v>
      </x:c>
      <x:c r="E28" s="16" t="n">
        <x:v>63</x:v>
      </x:c>
      <x:c r="F28" s="16" t="n">
        <x:v>57</x:v>
      </x:c>
      <x:c r="G28" s="16" t="n">
        <x:v>65</x:v>
      </x:c>
      <x:c r="H28" s="16" t="n">
        <x:v>60</x:v>
      </x:c>
      <x:c r="I28" s="16" t="n">
        <x:v>67</x:v>
      </x:c>
      <x:c r="J28" s="16" t="n">
        <x:f>ROUND(AVERAGE(E28:I28),1)</x:f>
        <x:v>62.4</x:v>
      </x:c>
      <x:c r="K28" s="16" t="str">
        <x:v>はい</x:v>
      </x:c>
      <x:c r="L28" s="16" t="str">
        <x:v>中央小</x:v>
      </x:c>
      <x:c r="M28" s="16" t="str">
        <x:v>いいえ</x:v>
      </x:c>
      <x:c r="N28" s="16" t="n">
        <x:v>4</x:v>
      </x:c>
      <x:c r="O28" s="16" t="str"/>
    </x:row>
    <x:row r="29">
      <x:c r="A29" s="16" t="str">
        <x:v>長谷川 航</x:v>
      </x:c>
      <x:c r="B29" s="16" t="str">
        <x:v>男</x:v>
      </x:c>
      <x:c r="C29" s="16" t="str">
        <x:v>3組</x:v>
      </x:c>
      <x:c r="D29" s="16" t="n">
        <x:v>2</x:v>
      </x:c>
      <x:c r="E29" s="16" t="n">
        <x:v>90</x:v>
      </x:c>
      <x:c r="F29" s="16" t="n">
        <x:v>87</x:v>
      </x:c>
      <x:c r="G29" s="16" t="n">
        <x:v>90</x:v>
      </x:c>
      <x:c r="H29" s="16" t="n">
        <x:v>88</x:v>
      </x:c>
      <x:c r="I29" s="16" t="n">
        <x:v>77</x:v>
      </x:c>
      <x:c r="J29" s="16" t="n">
        <x:f>ROUND(AVERAGE(E29:I29),1)</x:f>
        <x:v>86.4</x:v>
      </x:c>
      <x:c r="K29" s="16" t="str">
        <x:v>いいえ</x:v>
      </x:c>
      <x:c r="L29" s="16" t="str">
        <x:v>みなと小</x:v>
      </x:c>
      <x:c r="M29" s="16" t="str">
        <x:v>いいえ</x:v>
      </x:c>
      <x:c r="N29" s="16" t="n">
        <x:v>1</x:v>
      </x:c>
      <x:c r="O29" s="16" t="str"/>
    </x:row>
    <x:row r="30">
      <x:c r="A30" s="16" t="str">
        <x:v>村上 結月</x:v>
      </x:c>
      <x:c r="B30" s="16" t="str">
        <x:v>女</x:v>
      </x:c>
      <x:c r="C30" s="16" t="str">
        <x:v>1組</x:v>
      </x:c>
      <x:c r="D30" s="16" t="n">
        <x:v>2</x:v>
      </x:c>
      <x:c r="E30" s="16" t="n">
        <x:v>50</x:v>
      </x:c>
      <x:c r="F30" s="16" t="n">
        <x:v>52</x:v>
      </x:c>
      <x:c r="G30" s="16" t="n">
        <x:v>54</x:v>
      </x:c>
      <x:c r="H30" s="16" t="n">
        <x:v>51</x:v>
      </x:c>
      <x:c r="I30" s="16" t="n">
        <x:v>55</x:v>
      </x:c>
      <x:c r="J30" s="16" t="n">
        <x:f>ROUND(AVERAGE(E30:I30),1)</x:f>
        <x:v>52.4</x:v>
      </x:c>
      <x:c r="K30" s="16" t="str">
        <x:v>いいえ</x:v>
      </x:c>
      <x:c r="L30" s="16" t="str">
        <x:v>中央小</x:v>
      </x:c>
      <x:c r="M30" s="16" t="str">
        <x:v>はい</x:v>
      </x:c>
      <x:c r="N30" s="16" t="n">
        <x:v>5</x:v>
      </x:c>
      <x:c r="O30" s="16" t="str"/>
    </x:row>
    <x:row r="31">
      <x:c r="A31" s="16" t="str">
        <x:v>近藤 朝陽</x:v>
      </x:c>
      <x:c r="B31" s="16" t="str">
        <x:v>男</x:v>
      </x:c>
      <x:c r="C31" s="16" t="str">
        <x:v>2組</x:v>
      </x:c>
      <x:c r="D31" s="16" t="n">
        <x:v>2</x:v>
      </x:c>
      <x:c r="E31" s="16" t="n">
        <x:v>65</x:v>
      </x:c>
      <x:c r="F31" s="16" t="n">
        <x:v>76</x:v>
      </x:c>
      <x:c r="G31" s="16" t="n">
        <x:v>78</x:v>
      </x:c>
      <x:c r="H31" s="16" t="n">
        <x:v>80</x:v>
      </x:c>
      <x:c r="I31" s="16" t="n">
        <x:v>68</x:v>
      </x:c>
      <x:c r="J31" s="16" t="n">
        <x:f>ROUND(AVERAGE(E31:I31),1)</x:f>
        <x:v>73.4</x:v>
      </x:c>
      <x:c r="K31" s="16" t="str">
        <x:v>いいえ</x:v>
      </x:c>
      <x:c r="L31" s="16" t="str">
        <x:v>みなと小</x:v>
      </x:c>
      <x:c r="M31" s="16" t="str">
        <x:v>いいえ</x:v>
      </x:c>
      <x:c r="N31" s="16" t="n">
        <x:v>3</x:v>
      </x:c>
      <x:c r="O31" s="16" t="str"/>
    </x:row>
    <x:row r="32">
      <x:c r="A32" s="16" t="str">
        <x:v>石川 ひなた</x:v>
      </x:c>
      <x:c r="B32" s="16" t="str">
        <x:v>女</x:v>
      </x:c>
      <x:c r="C32" s="16" t="str">
        <x:v>3組</x:v>
      </x:c>
      <x:c r="D32" s="16" t="n">
        <x:v>4</x:v>
      </x:c>
      <x:c r="E32" s="16" t="n">
        <x:v>48</x:v>
      </x:c>
      <x:c r="F32" s="16" t="n">
        <x:v>48</x:v>
      </x:c>
      <x:c r="G32" s="16" t="n">
        <x:v>51</x:v>
      </x:c>
      <x:c r="H32" s="16" t="n">
        <x:v>47</x:v>
      </x:c>
      <x:c r="I32" s="16" t="n">
        <x:v>51</x:v>
      </x:c>
      <x:c r="J32" s="16" t="n">
        <x:f>ROUND(AVERAGE(E32:I32),1)</x:f>
        <x:v>49</x:v>
      </x:c>
      <x:c r="K32" s="16" t="str">
        <x:v>いいえ</x:v>
      </x:c>
      <x:c r="L32" s="16" t="str">
        <x:v>桜台小</x:v>
      </x:c>
      <x:c r="M32" s="16" t="str">
        <x:v>はい</x:v>
      </x:c>
      <x:c r="N32" s="16" t="n">
        <x:v>3</x:v>
      </x:c>
      <x:c r="O32" s="16" t="str"/>
    </x:row>
    <x:row r="33">
      <x:c r="A33" s="16" t="str">
        <x:v>前田 悠斗</x:v>
      </x:c>
      <x:c r="B33" s="16" t="str">
        <x:v>男</x:v>
      </x:c>
      <x:c r="C33" s="16" t="str">
        <x:v>1組</x:v>
      </x:c>
      <x:c r="D33" s="16" t="n">
        <x:v>4</x:v>
      </x:c>
      <x:c r="E33" s="16" t="n">
        <x:v>85</x:v>
      </x:c>
      <x:c r="F33" s="16" t="n">
        <x:v>82</x:v>
      </x:c>
      <x:c r="G33" s="16" t="n">
        <x:v>83</x:v>
      </x:c>
      <x:c r="H33" s="16" t="n">
        <x:v>87</x:v>
      </x:c>
      <x:c r="I33" s="16" t="n">
        <x:v>75</x:v>
      </x:c>
      <x:c r="J33" s="16" t="n">
        <x:f>ROUND(AVERAGE(E33:I33),1)</x:f>
        <x:v>82.4</x:v>
      </x:c>
      <x:c r="K33" s="16" t="str">
        <x:v>いいえ</x:v>
      </x:c>
      <x:c r="L33" s="16" t="str">
        <x:v>若葉小</x:v>
      </x:c>
      <x:c r="M33" s="16" t="str">
        <x:v>いいえ</x:v>
      </x:c>
      <x:c r="N33" s="16" t="n">
        <x:v>5</x:v>
      </x:c>
      <x:c r="O33" s="16" t="str"/>
    </x:row>
    <x:row r="34">
      <x:c r="A34" s="16" t="str">
        <x:v>藤井 美咲</x:v>
      </x:c>
      <x:c r="B34" s="16" t="str">
        <x:v>女</x:v>
      </x:c>
      <x:c r="C34" s="16" t="str">
        <x:v>2組</x:v>
      </x:c>
      <x:c r="D34" s="16" t="n">
        <x:v>4</x:v>
      </x:c>
      <x:c r="E34" s="16" t="n">
        <x:v>55</x:v>
      </x:c>
      <x:c r="F34" s="16" t="n">
        <x:v>53</x:v>
      </x:c>
      <x:c r="G34" s="16" t="n">
        <x:v>62</x:v>
      </x:c>
      <x:c r="H34" s="16" t="n">
        <x:v>47</x:v>
      </x:c>
      <x:c r="I34" s="16" t="n">
        <x:v>52</x:v>
      </x:c>
      <x:c r="J34" s="16" t="n">
        <x:f>ROUND(AVERAGE(E34:I34),1)</x:f>
        <x:v>53.8</x:v>
      </x:c>
      <x:c r="K34" s="16" t="str">
        <x:v>いいえ</x:v>
      </x:c>
      <x:c r="L34" s="16" t="str">
        <x:v>青葉小</x:v>
      </x:c>
      <x:c r="M34" s="16" t="str">
        <x:v>いいえ</x:v>
      </x:c>
      <x:c r="N34" s="16" t="n">
        <x:v>2</x:v>
      </x:c>
      <x:c r="O34" s="16" t="str"/>
    </x:row>
    <x:row r="35">
      <x:c r="A35" s="16" t="str">
        <x:v>青木 蓮</x:v>
      </x:c>
      <x:c r="B35" s="16" t="str">
        <x:v>男</x:v>
      </x:c>
      <x:c r="C35" s="16" t="str">
        <x:v>3組</x:v>
      </x:c>
      <x:c r="D35" s="16" t="n">
        <x:v>5</x:v>
      </x:c>
      <x:c r="E35" s="16" t="n">
        <x:v>94</x:v>
      </x:c>
      <x:c r="F35" s="16" t="n">
        <x:v>86</x:v>
      </x:c>
      <x:c r="G35" s="16" t="n">
        <x:v>87</x:v>
      </x:c>
      <x:c r="H35" s="16" t="n">
        <x:v>88</x:v>
      </x:c>
      <x:c r="I35" s="16" t="n">
        <x:v>88</x:v>
      </x:c>
      <x:c r="J35" s="16" t="n">
        <x:f>ROUND(AVERAGE(E35:I35),1)</x:f>
        <x:v>88.6</x:v>
      </x:c>
      <x:c r="K35" s="16" t="str">
        <x:v>いいえ</x:v>
      </x:c>
      <x:c r="L35" s="16" t="str">
        <x:v>中央小</x:v>
      </x:c>
      <x:c r="M35" s="16" t="str">
        <x:v>いいえ</x:v>
      </x:c>
      <x:c r="N35" s="16" t="n">
        <x:v>4</x:v>
      </x:c>
      <x:c r="O35" s="16" t="str"/>
    </x:row>
    <x:row r="36">
      <x:c r="A36" s="16" t="str">
        <x:v>坂本 結衣</x:v>
      </x:c>
      <x:c r="B36" s="16" t="str">
        <x:v>女</x:v>
      </x:c>
      <x:c r="C36" s="16" t="str">
        <x:v>1組</x:v>
      </x:c>
      <x:c r="D36" s="16" t="n">
        <x:v>3</x:v>
      </x:c>
      <x:c r="E36" s="16" t="n">
        <x:v>81</x:v>
      </x:c>
      <x:c r="F36" s="16" t="n">
        <x:v>80</x:v>
      </x:c>
      <x:c r="G36" s="16" t="n">
        <x:v>81</x:v>
      </x:c>
      <x:c r="H36" s="16" t="n">
        <x:v>83</x:v>
      </x:c>
      <x:c r="I36" s="16" t="n">
        <x:v>82</x:v>
      </x:c>
      <x:c r="J36" s="16" t="n">
        <x:f>ROUND(AVERAGE(E36:I36),1)</x:f>
        <x:v>81.4</x:v>
      </x:c>
      <x:c r="K36" s="16" t="str">
        <x:v>いいえ</x:v>
      </x:c>
      <x:c r="L36" s="16" t="str">
        <x:v>みなと小</x:v>
      </x:c>
      <x:c r="M36" s="16" t="str">
        <x:v>いいえ</x:v>
      </x:c>
      <x:c r="N36" s="16" t="n">
        <x:v>4</x:v>
      </x:c>
      <x:c r="O36" s="16" t="str"/>
    </x:row>
    <x:row r="37">
      <x:c r="A37" s="16" t="str">
        <x:v>遠藤 大翔</x:v>
      </x:c>
      <x:c r="B37" s="16" t="str">
        <x:v>男</x:v>
      </x:c>
      <x:c r="C37" s="16" t="str">
        <x:v>2組</x:v>
      </x:c>
      <x:c r="D37" s="16" t="n">
        <x:v>3</x:v>
      </x:c>
      <x:c r="E37" s="16" t="n">
        <x:v>76</x:v>
      </x:c>
      <x:c r="F37" s="16" t="n">
        <x:v>80</x:v>
      </x:c>
      <x:c r="G37" s="16" t="n">
        <x:v>74</x:v>
      </x:c>
      <x:c r="H37" s="16" t="n">
        <x:v>75</x:v>
      </x:c>
      <x:c r="I37" s="16" t="n">
        <x:v>88</x:v>
      </x:c>
      <x:c r="J37" s="16" t="n">
        <x:f>ROUND(AVERAGE(E37:I37),1)</x:f>
        <x:v>78.6</x:v>
      </x:c>
      <x:c r="K37" s="16" t="str">
        <x:v>いいえ</x:v>
      </x:c>
      <x:c r="L37" s="16" t="str">
        <x:v>桜台小</x:v>
      </x:c>
      <x:c r="M37" s="16" t="str">
        <x:v>いいえ</x:v>
      </x:c>
      <x:c r="N37" s="16" t="n">
        <x:v>2</x:v>
      </x:c>
      <x:c r="O37" s="16" t="str"/>
    </x:row>
    <x:row r="38">
      <x:c r="A38" s="16" t="str">
        <x:v>田中 葵</x:v>
      </x:c>
      <x:c r="B38" s="16" t="str">
        <x:v>女</x:v>
      </x:c>
      <x:c r="C38" s="16" t="str">
        <x:v>3組</x:v>
      </x:c>
      <x:c r="D38" s="16" t="n">
        <x:v>2</x:v>
      </x:c>
      <x:c r="E38" s="16" t="n">
        <x:v>53</x:v>
      </x:c>
      <x:c r="F38" s="16" t="n">
        <x:v>51</x:v>
      </x:c>
      <x:c r="G38" s="16" t="n">
        <x:v>51</x:v>
      </x:c>
      <x:c r="H38" s="16" t="n">
        <x:v>44</x:v>
      </x:c>
      <x:c r="I38" s="16" t="n">
        <x:v>45</x:v>
      </x:c>
      <x:c r="J38" s="16" t="n">
        <x:f>ROUND(AVERAGE(E38:I38),1)</x:f>
        <x:v>48.8</x:v>
      </x:c>
      <x:c r="K38" s="16" t="str">
        <x:v>いいえ</x:v>
      </x:c>
      <x:c r="L38" s="16" t="str">
        <x:v>若葉小</x:v>
      </x:c>
      <x:c r="M38" s="16" t="str">
        <x:v>いいえ</x:v>
      </x:c>
      <x:c r="N38" s="16" t="n">
        <x:v>2</x:v>
      </x:c>
      <x:c r="O38" s="16" t="str"/>
    </x:row>
    <x:row r="39">
      <x:c r="A39" s="16" t="str">
        <x:v>佐藤 陽太</x:v>
      </x:c>
      <x:c r="B39" s="16" t="str">
        <x:v>男</x:v>
      </x:c>
      <x:c r="C39" s="16" t="str">
        <x:v>1組</x:v>
      </x:c>
      <x:c r="D39" s="16" t="n">
        <x:v>3</x:v>
      </x:c>
      <x:c r="E39" s="16" t="n">
        <x:v>89</x:v>
      </x:c>
      <x:c r="F39" s="16" t="n">
        <x:v>82</x:v>
      </x:c>
      <x:c r="G39" s="16" t="n">
        <x:v>90</x:v>
      </x:c>
      <x:c r="H39" s="16" t="n">
        <x:v>97</x:v>
      </x:c>
      <x:c r="I39" s="16" t="n">
        <x:v>86</x:v>
      </x:c>
      <x:c r="J39" s="16" t="n">
        <x:f>ROUND(AVERAGE(E39:I39),1)</x:f>
        <x:v>88.8</x:v>
      </x:c>
      <x:c r="K39" s="16" t="str">
        <x:v>いいえ</x:v>
      </x:c>
      <x:c r="L39" s="16" t="str">
        <x:v>桜台小</x:v>
      </x:c>
      <x:c r="M39" s="16" t="str">
        <x:v>いいえ</x:v>
      </x:c>
      <x:c r="N39" s="16" t="n">
        <x:v>1</x:v>
      </x:c>
      <x:c r="O39" s="16" t="str"/>
    </x:row>
    <x:row r="40">
      <x:c r="A40" s="16" t="str">
        <x:v>鈴木 さくら</x:v>
      </x:c>
      <x:c r="B40" s="16" t="str">
        <x:v>女</x:v>
      </x:c>
      <x:c r="C40" s="16" t="str">
        <x:v>2組</x:v>
      </x:c>
      <x:c r="D40" s="16" t="n">
        <x:v>3</x:v>
      </x:c>
      <x:c r="E40" s="16" t="n">
        <x:v>82</x:v>
      </x:c>
      <x:c r="F40" s="16" t="n">
        <x:v>85</x:v>
      </x:c>
      <x:c r="G40" s="16" t="n">
        <x:v>84</x:v>
      </x:c>
      <x:c r="H40" s="16" t="n">
        <x:v>84</x:v>
      </x:c>
      <x:c r="I40" s="16" t="n">
        <x:v>85</x:v>
      </x:c>
      <x:c r="J40" s="16" t="n">
        <x:f>ROUND(AVERAGE(E40:I40),1)</x:f>
        <x:v>84</x:v>
      </x:c>
      <x:c r="K40" s="16" t="str">
        <x:v>はい</x:v>
      </x:c>
      <x:c r="L40" s="16" t="str">
        <x:v>若葉小</x:v>
      </x:c>
      <x:c r="M40" s="16" t="str">
        <x:v>はい</x:v>
      </x:c>
      <x:c r="N40" s="16" t="n">
        <x:v>4</x:v>
      </x:c>
      <x:c r="O40" s="16" t="str"/>
    </x:row>
    <x:row r="41">
      <x:c r="A41" s="16" t="str">
        <x:v>高橋 颯太</x:v>
      </x:c>
      <x:c r="B41" s="16" t="str">
        <x:v>男</x:v>
      </x:c>
      <x:c r="C41" s="16" t="str">
        <x:v>3組</x:v>
      </x:c>
      <x:c r="D41" s="16" t="n">
        <x:v>3</x:v>
      </x:c>
      <x:c r="E41" s="16" t="n">
        <x:v>76</x:v>
      </x:c>
      <x:c r="F41" s="16" t="n">
        <x:v>70</x:v>
      </x:c>
      <x:c r="G41" s="16" t="n">
        <x:v>78</x:v>
      </x:c>
      <x:c r="H41" s="16" t="n">
        <x:v>67</x:v>
      </x:c>
      <x:c r="I41" s="16" t="n">
        <x:v>68</x:v>
      </x:c>
      <x:c r="J41" s="16" t="n">
        <x:f>ROUND(AVERAGE(E41:I41),1)</x:f>
        <x:v>71.8</x:v>
      </x:c>
      <x:c r="K41" s="16" t="str">
        <x:v>はい</x:v>
      </x:c>
      <x:c r="L41" s="16" t="str">
        <x:v>青葉小</x:v>
      </x:c>
      <x:c r="M41" s="16" t="str">
        <x:v>いいえ</x:v>
      </x:c>
      <x:c r="N41" s="16" t="n">
        <x:v>3</x:v>
      </x:c>
      <x:c r="O41" s="16" t="str">
        <x:v>座席配慮</x:v>
      </x:c>
    </x:row>
    <x:row r="42">
      <x:c r="A42" s="16" t="str">
        <x:v>伊藤 凛</x:v>
      </x:c>
      <x:c r="B42" s="16" t="str">
        <x:v>女</x:v>
      </x:c>
      <x:c r="C42" s="16" t="str">
        <x:v>1組</x:v>
      </x:c>
      <x:c r="D42" s="16" t="n">
        <x:v>3</x:v>
      </x:c>
      <x:c r="E42" s="16" t="n">
        <x:v>64</x:v>
      </x:c>
      <x:c r="F42" s="16" t="n">
        <x:v>50</x:v>
      </x:c>
      <x:c r="G42" s="16" t="n">
        <x:v>58</x:v>
      </x:c>
      <x:c r="H42" s="16" t="n">
        <x:v>50</x:v>
      </x:c>
      <x:c r="I42" s="16" t="n">
        <x:v>65</x:v>
      </x:c>
      <x:c r="J42" s="16" t="n">
        <x:f>ROUND(AVERAGE(E42:I42),1)</x:f>
        <x:v>57.4</x:v>
      </x:c>
      <x:c r="K42" s="16" t="str">
        <x:v>いいえ</x:v>
      </x:c>
      <x:c r="L42" s="16" t="str">
        <x:v>中央小</x:v>
      </x:c>
      <x:c r="M42" s="16" t="str">
        <x:v>はい</x:v>
      </x:c>
      <x:c r="N42" s="16" t="n">
        <x:v>4</x:v>
      </x:c>
      <x:c r="O42" s="16" t="str"/>
    </x:row>
    <x:row r="43">
      <x:c r="A43" s="16" t="str">
        <x:v>山本 悠真</x:v>
      </x:c>
      <x:c r="B43" s="16" t="str">
        <x:v>男</x:v>
      </x:c>
      <x:c r="C43" s="16" t="str">
        <x:v>2組</x:v>
      </x:c>
      <x:c r="D43" s="16" t="n">
        <x:v>3</x:v>
      </x:c>
      <x:c r="E43" s="16" t="n">
        <x:v>78</x:v>
      </x:c>
      <x:c r="F43" s="16" t="n">
        <x:v>78</x:v>
      </x:c>
      <x:c r="G43" s="16" t="n">
        <x:v>81</x:v>
      </x:c>
      <x:c r="H43" s="16" t="n">
        <x:v>77</x:v>
      </x:c>
      <x:c r="I43" s="16" t="n">
        <x:v>79</x:v>
      </x:c>
      <x:c r="J43" s="16" t="n">
        <x:f>ROUND(AVERAGE(E43:I43),1)</x:f>
        <x:v>78.6</x:v>
      </x:c>
      <x:c r="K43" s="16" t="str">
        <x:v>いいえ</x:v>
      </x:c>
      <x:c r="L43" s="16" t="str">
        <x:v>みなと小</x:v>
      </x:c>
      <x:c r="M43" s="16" t="str">
        <x:v>いいえ</x:v>
      </x:c>
      <x:c r="N43" s="16" t="n">
        <x:v>3</x:v>
      </x:c>
      <x:c r="O43" s="16" t="str"/>
    </x:row>
    <x:row r="44">
      <x:c r="A44" s="16" t="str">
        <x:v>中村 結菜</x:v>
      </x:c>
      <x:c r="B44" s="16" t="str">
        <x:v>女</x:v>
      </x:c>
      <x:c r="C44" s="16" t="str">
        <x:v>3組</x:v>
      </x:c>
      <x:c r="D44" s="16" t="n">
        <x:v>3</x:v>
      </x:c>
      <x:c r="E44" s="16" t="n">
        <x:v>91</x:v>
      </x:c>
      <x:c r="F44" s="16" t="n">
        <x:v>91</x:v>
      </x:c>
      <x:c r="G44" s="16" t="n">
        <x:v>87</x:v>
      </x:c>
      <x:c r="H44" s="16" t="n">
        <x:v>89</x:v>
      </x:c>
      <x:c r="I44" s="16" t="n">
        <x:v>90</x:v>
      </x:c>
      <x:c r="J44" s="16" t="n">
        <x:f>ROUND(AVERAGE(E44:I44),1)</x:f>
        <x:v>89.6</x:v>
      </x:c>
      <x:c r="K44" s="16" t="str">
        <x:v>いいえ</x:v>
      </x:c>
      <x:c r="L44" s="16" t="str">
        <x:v>桜台小</x:v>
      </x:c>
      <x:c r="M44" s="16" t="str">
        <x:v>はい</x:v>
      </x:c>
      <x:c r="N44" s="16" t="n">
        <x:v>2</x:v>
      </x:c>
      <x:c r="O44" s="16" t="str"/>
    </x:row>
    <x:row r="45">
      <x:c r="A45" s="16" t="str">
        <x:v>小林 陸</x:v>
      </x:c>
      <x:c r="B45" s="16" t="str">
        <x:v>男</x:v>
      </x:c>
      <x:c r="C45" s="16" t="str">
        <x:v>1組</x:v>
      </x:c>
      <x:c r="D45" s="16" t="n">
        <x:v>4</x:v>
      </x:c>
      <x:c r="E45" s="16" t="n">
        <x:v>58</x:v>
      </x:c>
      <x:c r="F45" s="16" t="n">
        <x:v>65</x:v>
      </x:c>
      <x:c r="G45" s="16" t="n">
        <x:v>61</x:v>
      </x:c>
      <x:c r="H45" s="16" t="n">
        <x:v>66</x:v>
      </x:c>
      <x:c r="I45" s="16" t="n">
        <x:v>71</x:v>
      </x:c>
      <x:c r="J45" s="16" t="n">
        <x:f>ROUND(AVERAGE(E45:I45),1)</x:f>
        <x:v>64.2</x:v>
      </x:c>
      <x:c r="K45" s="16" t="str">
        <x:v>いいえ</x:v>
      </x:c>
      <x:c r="L45" s="16" t="str">
        <x:v>若葉小</x:v>
      </x:c>
      <x:c r="M45" s="16" t="str">
        <x:v>いいえ</x:v>
      </x:c>
      <x:c r="N45" s="16" t="n">
        <x:v>2</x:v>
      </x:c>
      <x:c r="O45" s="16" t="str"/>
    </x:row>
    <x:row r="46">
      <x:c r="A46" s="16" t="str">
        <x:v>加藤 美月</x:v>
      </x:c>
      <x:c r="B46" s="16" t="str">
        <x:v>女</x:v>
      </x:c>
      <x:c r="C46" s="16" t="str">
        <x:v>2組</x:v>
      </x:c>
      <x:c r="D46" s="16" t="n">
        <x:v>3</x:v>
      </x:c>
      <x:c r="E46" s="16" t="n">
        <x:v>65</x:v>
      </x:c>
      <x:c r="F46" s="16" t="n">
        <x:v>68</x:v>
      </x:c>
      <x:c r="G46" s="16" t="n">
        <x:v>72</x:v>
      </x:c>
      <x:c r="H46" s="16" t="n">
        <x:v>65</x:v>
      </x:c>
      <x:c r="I46" s="16" t="n">
        <x:v>65</x:v>
      </x:c>
      <x:c r="J46" s="16" t="n">
        <x:f>ROUND(AVERAGE(E46:I46),1)</x:f>
        <x:v>67</x:v>
      </x:c>
      <x:c r="K46" s="16" t="str">
        <x:v>いいえ</x:v>
      </x:c>
      <x:c r="L46" s="16" t="str">
        <x:v>青葉小</x:v>
      </x:c>
      <x:c r="M46" s="16" t="str">
        <x:v>いいえ</x:v>
      </x:c>
      <x:c r="N46" s="16" t="n">
        <x:v>3</x:v>
      </x:c>
      <x:c r="O46" s="16" t="str"/>
    </x:row>
    <x:row r="47">
      <x:c r="A47" s="16" t="str">
        <x:v>吉田 拓海</x:v>
      </x:c>
      <x:c r="B47" s="16" t="str">
        <x:v>男</x:v>
      </x:c>
      <x:c r="C47" s="16" t="str">
        <x:v>3組</x:v>
      </x:c>
      <x:c r="D47" s="16" t="n">
        <x:v>2</x:v>
      </x:c>
      <x:c r="E47" s="16" t="n">
        <x:v>46</x:v>
      </x:c>
      <x:c r="F47" s="16" t="n">
        <x:v>48</x:v>
      </x:c>
      <x:c r="G47" s="16" t="n">
        <x:v>50</x:v>
      </x:c>
      <x:c r="H47" s="16" t="n">
        <x:v>52</x:v>
      </x:c>
      <x:c r="I47" s="16" t="n">
        <x:v>45</x:v>
      </x:c>
      <x:c r="J47" s="16" t="n">
        <x:f>ROUND(AVERAGE(E47:I47),1)</x:f>
        <x:v>48.2</x:v>
      </x:c>
      <x:c r="K47" s="16" t="str">
        <x:v>いいえ</x:v>
      </x:c>
      <x:c r="L47" s="16" t="str">
        <x:v>中央小</x:v>
      </x:c>
      <x:c r="M47" s="16" t="str">
        <x:v>はい</x:v>
      </x:c>
      <x:c r="N47" s="16" t="n">
        <x:v>1</x:v>
      </x:c>
      <x:c r="O47" s="16" t="str"/>
    </x:row>
    <x:row r="48">
      <x:c r="A48" s="16" t="str">
        <x:v>山田 心春</x:v>
      </x:c>
      <x:c r="B48" s="16" t="str">
        <x:v>女</x:v>
      </x:c>
      <x:c r="C48" s="16" t="str">
        <x:v>1組</x:v>
      </x:c>
      <x:c r="D48" s="16" t="n">
        <x:v>3</x:v>
      </x:c>
      <x:c r="E48" s="16" t="n">
        <x:v>62</x:v>
      </x:c>
      <x:c r="F48" s="16" t="n">
        <x:v>57</x:v>
      </x:c>
      <x:c r="G48" s="16" t="n">
        <x:v>60</x:v>
      </x:c>
      <x:c r="H48" s="16" t="n">
        <x:v>63</x:v>
      </x:c>
      <x:c r="I48" s="16" t="n">
        <x:v>57</x:v>
      </x:c>
      <x:c r="J48" s="16" t="n">
        <x:f>ROUND(AVERAGE(E48:I48),1)</x:f>
        <x:v>59.8</x:v>
      </x:c>
      <x:c r="K48" s="16" t="str">
        <x:v>いいえ</x:v>
      </x:c>
      <x:c r="L48" s="16" t="str">
        <x:v>青葉小</x:v>
      </x:c>
      <x:c r="M48" s="16" t="str">
        <x:v>いいえ</x:v>
      </x:c>
      <x:c r="N48" s="16" t="n">
        <x:v>3</x:v>
      </x:c>
      <x:c r="O48" s="16" t="str"/>
    </x:row>
    <x:row r="49">
      <x:c r="A49" s="16" t="str">
        <x:v>松本 湊</x:v>
      </x:c>
      <x:c r="B49" s="16" t="str">
        <x:v>男</x:v>
      </x:c>
      <x:c r="C49" s="16" t="str">
        <x:v>2組</x:v>
      </x:c>
      <x:c r="D49" s="16" t="n">
        <x:v>3</x:v>
      </x:c>
      <x:c r="E49" s="16" t="n">
        <x:v>59</x:v>
      </x:c>
      <x:c r="F49" s="16" t="n">
        <x:v>61</x:v>
      </x:c>
      <x:c r="G49" s="16" t="n">
        <x:v>67</x:v>
      </x:c>
      <x:c r="H49" s="16" t="n">
        <x:v>61</x:v>
      </x:c>
      <x:c r="I49" s="16" t="n">
        <x:v>63</x:v>
      </x:c>
      <x:c r="J49" s="16" t="n">
        <x:f>ROUND(AVERAGE(E49:I49),1)</x:f>
        <x:v>62.2</x:v>
      </x:c>
      <x:c r="K49" s="16" t="str">
        <x:v>いいえ</x:v>
      </x:c>
      <x:c r="L49" s="16" t="str">
        <x:v>中央小</x:v>
      </x:c>
      <x:c r="M49" s="16" t="str">
        <x:v>はい</x:v>
      </x:c>
      <x:c r="N49" s="16" t="n">
        <x:v>1</x:v>
      </x:c>
      <x:c r="O49" s="16" t="str"/>
    </x:row>
    <x:row r="50">
      <x:c r="A50" s="16" t="str">
        <x:v>井上 陽菜</x:v>
      </x:c>
      <x:c r="B50" s="16" t="str">
        <x:v>女</x:v>
      </x:c>
      <x:c r="C50" s="16" t="str">
        <x:v>3組</x:v>
      </x:c>
      <x:c r="D50" s="16" t="n">
        <x:v>2</x:v>
      </x:c>
      <x:c r="E50" s="16" t="n">
        <x:v>72</x:v>
      </x:c>
      <x:c r="F50" s="16" t="n">
        <x:v>71</x:v>
      </x:c>
      <x:c r="G50" s="16" t="n">
        <x:v>73</x:v>
      </x:c>
      <x:c r="H50" s="16" t="n">
        <x:v>66</x:v>
      </x:c>
      <x:c r="I50" s="16" t="n">
        <x:v>76</x:v>
      </x:c>
      <x:c r="J50" s="16" t="n">
        <x:f>ROUND(AVERAGE(E50:I50),1)</x:f>
        <x:v>71.6</x:v>
      </x:c>
      <x:c r="K50" s="16" t="str">
        <x:v>いいえ</x:v>
      </x:c>
      <x:c r="L50" s="16" t="str">
        <x:v>みなと小</x:v>
      </x:c>
      <x:c r="M50" s="16" t="str">
        <x:v>いいえ</x:v>
      </x:c>
      <x:c r="N50" s="16" t="n">
        <x:v>3</x:v>
      </x:c>
      <x:c r="O50" s="16" t="str"/>
    </x:row>
    <x:row r="51">
      <x:c r="A51" s="16" t="str">
        <x:v>木村 蒼</x:v>
      </x:c>
      <x:c r="B51" s="16" t="str">
        <x:v>男</x:v>
      </x:c>
      <x:c r="C51" s="16" t="str">
        <x:v>1組</x:v>
      </x:c>
      <x:c r="D51" s="16" t="n">
        <x:v>2</x:v>
      </x:c>
      <x:c r="E51" s="16" t="n">
        <x:v>87</x:v>
      </x:c>
      <x:c r="F51" s="16" t="n">
        <x:v>82</x:v>
      </x:c>
      <x:c r="G51" s="16" t="n">
        <x:v>87</x:v>
      </x:c>
      <x:c r="H51" s="16" t="n">
        <x:v>91</x:v>
      </x:c>
      <x:c r="I51" s="16" t="n">
        <x:v>86</x:v>
      </x:c>
      <x:c r="J51" s="16" t="n">
        <x:f>ROUND(AVERAGE(E51:I51),1)</x:f>
        <x:v>86.6</x:v>
      </x:c>
      <x:c r="K51" s="16" t="str">
        <x:v>いいえ</x:v>
      </x:c>
      <x:c r="L51" s="16" t="str">
        <x:v>桜台小</x:v>
      </x:c>
      <x:c r="M51" s="16" t="str">
        <x:v>いいえ</x:v>
      </x:c>
      <x:c r="N51" s="16" t="n">
        <x:v>1</x:v>
      </x:c>
      <x:c r="O51" s="16" t="str"/>
    </x:row>
    <x:row r="52">
      <x:c r="A52" s="16" t="str">
        <x:v>林 莉子</x:v>
      </x:c>
      <x:c r="B52" s="16" t="str">
        <x:v>女</x:v>
      </x:c>
      <x:c r="C52" s="16" t="str">
        <x:v>2組</x:v>
      </x:c>
      <x:c r="D52" s="16" t="n">
        <x:v>5</x:v>
      </x:c>
      <x:c r="E52" s="16" t="n">
        <x:v>59</x:v>
      </x:c>
      <x:c r="F52" s="16" t="n">
        <x:v>58</x:v>
      </x:c>
      <x:c r="G52" s="16" t="n">
        <x:v>66</x:v>
      </x:c>
      <x:c r="H52" s="16" t="n">
        <x:v>62</x:v>
      </x:c>
      <x:c r="I52" s="16" t="n">
        <x:v>65</x:v>
      </x:c>
      <x:c r="J52" s="16" t="n">
        <x:f>ROUND(AVERAGE(E52:I52),1)</x:f>
        <x:v>62</x:v>
      </x:c>
      <x:c r="K52" s="16" t="str">
        <x:v>いいえ</x:v>
      </x:c>
      <x:c r="L52" s="16" t="str">
        <x:v>若葉小</x:v>
      </x:c>
      <x:c r="M52" s="16" t="str">
        <x:v>いいえ</x:v>
      </x:c>
      <x:c r="N52" s="16" t="n">
        <x:v>3</x:v>
      </x:c>
      <x:c r="O52" s="16" t="str"/>
    </x:row>
    <x:row r="53">
      <x:c r="A53" s="16" t="str">
        <x:v>清水 樹</x:v>
      </x:c>
      <x:c r="B53" s="16" t="str">
        <x:v>男</x:v>
      </x:c>
      <x:c r="C53" s="16" t="str">
        <x:v>3組</x:v>
      </x:c>
      <x:c r="D53" s="16" t="n">
        <x:v>5</x:v>
      </x:c>
      <x:c r="E53" s="16" t="n">
        <x:v>63</x:v>
      </x:c>
      <x:c r="F53" s="16" t="n">
        <x:v>53</x:v>
      </x:c>
      <x:c r="G53" s="16" t="n">
        <x:v>60</x:v>
      </x:c>
      <x:c r="H53" s="16" t="n">
        <x:v>68</x:v>
      </x:c>
      <x:c r="I53" s="16" t="n">
        <x:v>71</x:v>
      </x:c>
      <x:c r="J53" s="16" t="n">
        <x:f>ROUND(AVERAGE(E53:I53),1)</x:f>
        <x:v>63</x:v>
      </x:c>
      <x:c r="K53" s="16" t="str">
        <x:v>いいえ</x:v>
      </x:c>
      <x:c r="L53" s="16" t="str">
        <x:v>青葉小</x:v>
      </x:c>
      <x:c r="M53" s="16" t="str">
        <x:v>いいえ</x:v>
      </x:c>
      <x:c r="N53" s="16" t="n">
        <x:v>3</x:v>
      </x:c>
      <x:c r="O53" s="16" t="str"/>
    </x:row>
    <x:row r="54">
      <x:c r="A54" s="16" t="str">
        <x:v>斎藤 彩乃</x:v>
      </x:c>
      <x:c r="B54" s="16" t="str">
        <x:v>女</x:v>
      </x:c>
      <x:c r="C54" s="16" t="str">
        <x:v>1組</x:v>
      </x:c>
      <x:c r="D54" s="16" t="n">
        <x:v>3</x:v>
      </x:c>
      <x:c r="E54" s="16" t="n">
        <x:v>82</x:v>
      </x:c>
      <x:c r="F54" s="16" t="n">
        <x:v>74</x:v>
      </x:c>
      <x:c r="G54" s="16" t="n">
        <x:v>73</x:v>
      </x:c>
      <x:c r="H54" s="16" t="n">
        <x:v>66</x:v>
      </x:c>
      <x:c r="I54" s="16" t="n">
        <x:v>70</x:v>
      </x:c>
      <x:c r="J54" s="16" t="n">
        <x:f>ROUND(AVERAGE(E54:I54),1)</x:f>
        <x:v>73</x:v>
      </x:c>
      <x:c r="K54" s="16" t="str">
        <x:v>いいえ</x:v>
      </x:c>
      <x:c r="L54" s="16" t="str">
        <x:v>中央小</x:v>
      </x:c>
      <x:c r="M54" s="16" t="str">
        <x:v>いいえ</x:v>
      </x:c>
      <x:c r="N54" s="16" t="n">
        <x:v>3</x:v>
      </x:c>
      <x:c r="O54" s="16" t="str"/>
    </x:row>
    <x:row r="55">
      <x:c r="A55" s="16" t="str">
        <x:v>森 颯</x:v>
      </x:c>
      <x:c r="B55" s="16" t="str">
        <x:v>男</x:v>
      </x:c>
      <x:c r="C55" s="16" t="str">
        <x:v>2組</x:v>
      </x:c>
      <x:c r="D55" s="16" t="n">
        <x:v>1</x:v>
      </x:c>
      <x:c r="E55" s="16" t="n">
        <x:v>53</x:v>
      </x:c>
      <x:c r="F55" s="16" t="n">
        <x:v>45</x:v>
      </x:c>
      <x:c r="G55" s="16" t="n">
        <x:v>48</x:v>
      </x:c>
      <x:c r="H55" s="16" t="n">
        <x:v>54</x:v>
      </x:c>
      <x:c r="I55" s="16" t="n">
        <x:v>52</x:v>
      </x:c>
      <x:c r="J55" s="16" t="n">
        <x:f>ROUND(AVERAGE(E55:I55),1)</x:f>
        <x:v>50.4</x:v>
      </x:c>
      <x:c r="K55" s="16" t="str">
        <x:v>いいえ</x:v>
      </x:c>
      <x:c r="L55" s="16" t="str">
        <x:v>みなと小</x:v>
      </x:c>
      <x:c r="M55" s="16" t="str">
        <x:v>いいえ</x:v>
      </x:c>
      <x:c r="N55" s="16" t="n">
        <x:v>3</x:v>
      </x:c>
      <x:c r="O55" s="16" t="str"/>
    </x:row>
    <x:row r="56">
      <x:c r="A56" s="16" t="str">
        <x:v>池田 七海</x:v>
      </x:c>
      <x:c r="B56" s="16" t="str">
        <x:v>女</x:v>
      </x:c>
      <x:c r="C56" s="16" t="str">
        <x:v>3組</x:v>
      </x:c>
      <x:c r="D56" s="16" t="n">
        <x:v>2</x:v>
      </x:c>
      <x:c r="E56" s="16" t="n">
        <x:v>71</x:v>
      </x:c>
      <x:c r="F56" s="16" t="n">
        <x:v>69</x:v>
      </x:c>
      <x:c r="G56" s="16" t="n">
        <x:v>84</x:v>
      </x:c>
      <x:c r="H56" s="16" t="n">
        <x:v>75</x:v>
      </x:c>
      <x:c r="I56" s="16" t="n">
        <x:v>79</x:v>
      </x:c>
      <x:c r="J56" s="16" t="n">
        <x:f>ROUND(AVERAGE(E56:I56),1)</x:f>
        <x:v>75.6</x:v>
      </x:c>
      <x:c r="K56" s="16" t="str">
        <x:v>いいえ</x:v>
      </x:c>
      <x:c r="L56" s="16" t="str">
        <x:v>桜台小</x:v>
      </x:c>
      <x:c r="M56" s="16" t="str">
        <x:v>いいえ</x:v>
      </x:c>
      <x:c r="N56" s="16" t="n">
        <x:v>2</x:v>
      </x:c>
      <x:c r="O56" s="16" t="str"/>
    </x:row>
    <x:row r="57">
      <x:c r="A57" s="16" t="str">
        <x:v>橋本 陽翔</x:v>
      </x:c>
      <x:c r="B57" s="16" t="str">
        <x:v>男</x:v>
      </x:c>
      <x:c r="C57" s="16" t="str">
        <x:v>1組</x:v>
      </x:c>
      <x:c r="D57" s="16" t="n">
        <x:v>5</x:v>
      </x:c>
      <x:c r="E57" s="16" t="n">
        <x:v>80</x:v>
      </x:c>
      <x:c r="F57" s="16" t="n">
        <x:v>76</x:v>
      </x:c>
      <x:c r="G57" s="16" t="n">
        <x:v>89</x:v>
      </x:c>
      <x:c r="H57" s="16" t="n">
        <x:v>84</x:v>
      </x:c>
      <x:c r="I57" s="16" t="n">
        <x:v>85</x:v>
      </x:c>
      <x:c r="J57" s="16" t="n">
        <x:f>ROUND(AVERAGE(E57:I57),1)</x:f>
        <x:v>82.8</x:v>
      </x:c>
      <x:c r="K57" s="16" t="str">
        <x:v>いいえ</x:v>
      </x:c>
      <x:c r="L57" s="16" t="str">
        <x:v>みなと小</x:v>
      </x:c>
      <x:c r="M57" s="16" t="str">
        <x:v>はい</x:v>
      </x:c>
      <x:c r="N57" s="16" t="n">
        <x:v>2</x:v>
      </x:c>
      <x:c r="O57" s="16" t="str"/>
    </x:row>
    <x:row r="58">
      <x:c r="A58" s="16" t="str">
        <x:v>阿部 愛莉</x:v>
      </x:c>
      <x:c r="B58" s="16" t="str">
        <x:v>女</x:v>
      </x:c>
      <x:c r="C58" s="16" t="str">
        <x:v>2組</x:v>
      </x:c>
      <x:c r="D58" s="16" t="n">
        <x:v>1</x:v>
      </x:c>
      <x:c r="E58" s="16" t="n">
        <x:v>65</x:v>
      </x:c>
      <x:c r="F58" s="16" t="n">
        <x:v>76</x:v>
      </x:c>
      <x:c r="G58" s="16" t="n">
        <x:v>72</x:v>
      </x:c>
      <x:c r="H58" s="16" t="n">
        <x:v>78</x:v>
      </x:c>
      <x:c r="I58" s="16" t="n">
        <x:v>78</x:v>
      </x:c>
      <x:c r="J58" s="16" t="n">
        <x:f>ROUND(AVERAGE(E58:I58),1)</x:f>
        <x:v>73.8</x:v>
      </x:c>
      <x:c r="K58" s="16" t="str">
        <x:v>いいえ</x:v>
      </x:c>
      <x:c r="L58" s="16" t="str">
        <x:v>桜台小</x:v>
      </x:c>
      <x:c r="M58" s="16" t="str">
        <x:v>いいえ</x:v>
      </x:c>
      <x:c r="N58" s="16" t="n">
        <x:v>4</x:v>
      </x:c>
      <x:c r="O58" s="16" t="str"/>
    </x:row>
    <x:row r="59">
      <x:c r="A59" s="16" t="str">
        <x:v>石井 航</x:v>
      </x:c>
      <x:c r="B59" s="16" t="str">
        <x:v>男</x:v>
      </x:c>
      <x:c r="C59" s="16" t="str">
        <x:v>3組</x:v>
      </x:c>
      <x:c r="D59" s="16" t="n">
        <x:v>3</x:v>
      </x:c>
      <x:c r="E59" s="16" t="n">
        <x:v>55</x:v>
      </x:c>
      <x:c r="F59" s="16" t="n">
        <x:v>52</x:v>
      </x:c>
      <x:c r="G59" s="16" t="n">
        <x:v>48</x:v>
      </x:c>
      <x:c r="H59" s="16" t="n">
        <x:v>55</x:v>
      </x:c>
      <x:c r="I59" s="16" t="n">
        <x:v>53</x:v>
      </x:c>
      <x:c r="J59" s="16" t="n">
        <x:f>ROUND(AVERAGE(E59:I59),1)</x:f>
        <x:v>52.6</x:v>
      </x:c>
      <x:c r="K59" s="16" t="str">
        <x:v>いいえ</x:v>
      </x:c>
      <x:c r="L59" s="16" t="str">
        <x:v>若葉小</x:v>
      </x:c>
      <x:c r="M59" s="16" t="str">
        <x:v>いいえ</x:v>
      </x:c>
      <x:c r="N59" s="16" t="n">
        <x:v>4</x:v>
      </x:c>
      <x:c r="O59" s="16" t="str"/>
    </x:row>
    <x:row r="60">
      <x:c r="A60" s="16" t="str">
        <x:v>山崎 結月</x:v>
      </x:c>
      <x:c r="B60" s="16" t="str">
        <x:v>女</x:v>
      </x:c>
      <x:c r="C60" s="16" t="str">
        <x:v>1組</x:v>
      </x:c>
      <x:c r="D60" s="16" t="n">
        <x:v>4</x:v>
      </x:c>
      <x:c r="E60" s="16" t="n">
        <x:v>60</x:v>
      </x:c>
      <x:c r="F60" s="16" t="n">
        <x:v>58</x:v>
      </x:c>
      <x:c r="G60" s="16" t="n">
        <x:v>60</x:v>
      </x:c>
      <x:c r="H60" s="16" t="n">
        <x:v>53</x:v>
      </x:c>
      <x:c r="I60" s="16" t="n">
        <x:v>62</x:v>
      </x:c>
      <x:c r="J60" s="16" t="n">
        <x:f>ROUND(AVERAGE(E60:I60),1)</x:f>
        <x:v>58.6</x:v>
      </x:c>
      <x:c r="K60" s="16" t="str">
        <x:v>いいえ</x:v>
      </x:c>
      <x:c r="L60" s="16" t="str">
        <x:v>青葉小</x:v>
      </x:c>
      <x:c r="M60" s="16" t="str">
        <x:v>はい</x:v>
      </x:c>
      <x:c r="N60" s="16" t="n">
        <x:v>3</x:v>
      </x:c>
      <x:c r="O60" s="16" t="str"/>
    </x:row>
    <x:row r="61">
      <x:c r="A61" s="16" t="str">
        <x:v>藤田 朝陽</x:v>
      </x:c>
      <x:c r="B61" s="16" t="str">
        <x:v>男</x:v>
      </x:c>
      <x:c r="C61" s="16" t="str">
        <x:v>2組</x:v>
      </x:c>
      <x:c r="D61" s="16" t="n">
        <x:v>4</x:v>
      </x:c>
      <x:c r="E61" s="16" t="n">
        <x:v>73</x:v>
      </x:c>
      <x:c r="F61" s="16" t="n">
        <x:v>70</x:v>
      </x:c>
      <x:c r="G61" s="16" t="n">
        <x:v>72</x:v>
      </x:c>
      <x:c r="H61" s="16" t="n">
        <x:v>70</x:v>
      </x:c>
      <x:c r="I61" s="16" t="n">
        <x:v>69</x:v>
      </x:c>
      <x:c r="J61" s="16" t="n">
        <x:f>ROUND(AVERAGE(E61:I61),1)</x:f>
        <x:v>70.8</x:v>
      </x:c>
      <x:c r="K61" s="16" t="str">
        <x:v>いいえ</x:v>
      </x:c>
      <x:c r="L61" s="16" t="str">
        <x:v>中央小</x:v>
      </x:c>
      <x:c r="M61" s="16" t="str">
        <x:v>いいえ</x:v>
      </x:c>
      <x:c r="N61" s="16" t="n">
        <x:v>3</x:v>
      </x:c>
      <x:c r="O61" s="16" t="str"/>
    </x:row>
    <x:row r="62">
      <x:c r="A62" s="16" t="str">
        <x:v>岡田 ひなた</x:v>
      </x:c>
      <x:c r="B62" s="16" t="str">
        <x:v>女</x:v>
      </x:c>
      <x:c r="C62" s="16" t="str">
        <x:v>3組</x:v>
      </x:c>
      <x:c r="D62" s="16" t="n">
        <x:v>3</x:v>
      </x:c>
      <x:c r="E62" s="16" t="n">
        <x:v>55</x:v>
      </x:c>
      <x:c r="F62" s="16" t="n">
        <x:v>51</x:v>
      </x:c>
      <x:c r="G62" s="16" t="n">
        <x:v>52</x:v>
      </x:c>
      <x:c r="H62" s="16" t="n">
        <x:v>56</x:v>
      </x:c>
      <x:c r="I62" s="16" t="n">
        <x:v>59</x:v>
      </x:c>
      <x:c r="J62" s="16" t="n">
        <x:f>ROUND(AVERAGE(E62:I62),1)</x:f>
        <x:v>54.6</x:v>
      </x:c>
      <x:c r="K62" s="16" t="str">
        <x:v>いいえ</x:v>
      </x:c>
      <x:c r="L62" s="16" t="str">
        <x:v>みなと小</x:v>
      </x:c>
      <x:c r="M62" s="16" t="str">
        <x:v>いいえ</x:v>
      </x:c>
      <x:c r="N62" s="16" t="n">
        <x:v>3</x:v>
      </x:c>
      <x:c r="O62" s="16" t="str"/>
    </x:row>
    <x:row r="63">
      <x:c r="A63" s="16" t="str">
        <x:v>後藤 悠斗</x:v>
      </x:c>
      <x:c r="B63" s="16" t="str">
        <x:v>男</x:v>
      </x:c>
      <x:c r="C63" s="16" t="str">
        <x:v>1組</x:v>
      </x:c>
      <x:c r="D63" s="16" t="n">
        <x:v>2</x:v>
      </x:c>
      <x:c r="E63" s="16" t="n">
        <x:v>56</x:v>
      </x:c>
      <x:c r="F63" s="16" t="n">
        <x:v>56</x:v>
      </x:c>
      <x:c r="G63" s="16" t="n">
        <x:v>74</x:v>
      </x:c>
      <x:c r="H63" s="16" t="n">
        <x:v>55</x:v>
      </x:c>
      <x:c r="I63" s="16" t="n">
        <x:v>56</x:v>
      </x:c>
      <x:c r="J63" s="16" t="n">
        <x:f>ROUND(AVERAGE(E63:I63),1)</x:f>
        <x:v>59.4</x:v>
      </x:c>
      <x:c r="K63" s="16" t="str">
        <x:v>はい</x:v>
      </x:c>
      <x:c r="L63" s="16" t="str">
        <x:v>桜台小</x:v>
      </x:c>
      <x:c r="M63" s="16" t="str">
        <x:v>はい</x:v>
      </x:c>
      <x:c r="N63" s="16" t="n">
        <x:v>4</x:v>
      </x:c>
      <x:c r="O63" s="16" t="str">
        <x:v>座席配慮</x:v>
      </x:c>
    </x:row>
    <x:row r="64">
      <x:c r="A64" s="16" t="str">
        <x:v>長谷川 美咲</x:v>
      </x:c>
      <x:c r="B64" s="16" t="str">
        <x:v>女</x:v>
      </x:c>
      <x:c r="C64" s="16" t="str">
        <x:v>2組</x:v>
      </x:c>
      <x:c r="D64" s="16" t="n">
        <x:v>3</x:v>
      </x:c>
      <x:c r="E64" s="16" t="n">
        <x:v>92</x:v>
      </x:c>
      <x:c r="F64" s="16" t="n">
        <x:v>90</x:v>
      </x:c>
      <x:c r="G64" s="16" t="n">
        <x:v>92</x:v>
      </x:c>
      <x:c r="H64" s="16" t="n">
        <x:v>95</x:v>
      </x:c>
      <x:c r="I64" s="16" t="n">
        <x:v>96</x:v>
      </x:c>
      <x:c r="J64" s="16" t="n">
        <x:f>ROUND(AVERAGE(E64:I64),1)</x:f>
        <x:v>93</x:v>
      </x:c>
      <x:c r="K64" s="16" t="str">
        <x:v>いいえ</x:v>
      </x:c>
      <x:c r="L64" s="16" t="str">
        <x:v>若葉小</x:v>
      </x:c>
      <x:c r="M64" s="16" t="str">
        <x:v>いいえ</x:v>
      </x:c>
      <x:c r="N64" s="16" t="n">
        <x:v>4</x:v>
      </x:c>
      <x:c r="O64" s="16" t="str"/>
    </x:row>
    <x:row r="65">
      <x:c r="A65" s="16" t="str">
        <x:v>村上 蓮</x:v>
      </x:c>
      <x:c r="B65" s="16" t="str">
        <x:v>男</x:v>
      </x:c>
      <x:c r="C65" s="16" t="str">
        <x:v>3組</x:v>
      </x:c>
      <x:c r="D65" s="16" t="n">
        <x:v>2</x:v>
      </x:c>
      <x:c r="E65" s="16" t="n">
        <x:v>69</x:v>
      </x:c>
      <x:c r="F65" s="16" t="n">
        <x:v>76</x:v>
      </x:c>
      <x:c r="G65" s="16" t="n">
        <x:v>81</x:v>
      </x:c>
      <x:c r="H65" s="16" t="n">
        <x:v>77</x:v>
      </x:c>
      <x:c r="I65" s="16" t="n">
        <x:v>84</x:v>
      </x:c>
      <x:c r="J65" s="16" t="n">
        <x:f>ROUND(AVERAGE(E65:I65),1)</x:f>
        <x:v>77.4</x:v>
      </x:c>
      <x:c r="K65" s="16" t="str">
        <x:v>いいえ</x:v>
      </x:c>
      <x:c r="L65" s="16" t="str">
        <x:v>青葉小</x:v>
      </x:c>
      <x:c r="M65" s="16" t="str">
        <x:v>いいえ</x:v>
      </x:c>
      <x:c r="N65" s="16" t="n">
        <x:v>1</x:v>
      </x:c>
      <x:c r="O65" s="16" t="str"/>
    </x:row>
    <x:row r="66">
      <x:c r="A66" s="16" t="str">
        <x:v>近藤 結衣</x:v>
      </x:c>
      <x:c r="B66" s="16" t="str">
        <x:v>女</x:v>
      </x:c>
      <x:c r="C66" s="16" t="str">
        <x:v>1組</x:v>
      </x:c>
      <x:c r="D66" s="16" t="n">
        <x:v>1</x:v>
      </x:c>
      <x:c r="E66" s="16" t="n">
        <x:v>61</x:v>
      </x:c>
      <x:c r="F66" s="16" t="n">
        <x:v>62</x:v>
      </x:c>
      <x:c r="G66" s="16" t="n">
        <x:v>61</x:v>
      </x:c>
      <x:c r="H66" s="16" t="n">
        <x:v>61</x:v>
      </x:c>
      <x:c r="I66" s="16" t="n">
        <x:v>65</x:v>
      </x:c>
      <x:c r="J66" s="16" t="n">
        <x:f>ROUND(AVERAGE(E66:I66),1)</x:f>
        <x:v>62</x:v>
      </x:c>
      <x:c r="K66" s="16" t="str">
        <x:v>いいえ</x:v>
      </x:c>
      <x:c r="L66" s="16" t="str">
        <x:v>若葉小</x:v>
      </x:c>
      <x:c r="M66" s="16" t="str">
        <x:v>いいえ</x:v>
      </x:c>
      <x:c r="N66" s="16" t="n">
        <x:v>5</x:v>
      </x:c>
      <x:c r="O66" s="16" t="str"/>
    </x:row>
    <x:row r="67">
      <x:c r="A67" s="16" t="str">
        <x:v>石川 大翔</x:v>
      </x:c>
      <x:c r="B67" s="16" t="str">
        <x:v>男</x:v>
      </x:c>
      <x:c r="C67" s="16" t="str">
        <x:v>2組</x:v>
      </x:c>
      <x:c r="D67" s="16" t="n">
        <x:v>4</x:v>
      </x:c>
      <x:c r="E67" s="16" t="n">
        <x:v>62</x:v>
      </x:c>
      <x:c r="F67" s="16" t="n">
        <x:v>63</x:v>
      </x:c>
      <x:c r="G67" s="16" t="n">
        <x:v>74</x:v>
      </x:c>
      <x:c r="H67" s="16" t="n">
        <x:v>71</x:v>
      </x:c>
      <x:c r="I67" s="16" t="n">
        <x:v>67</x:v>
      </x:c>
      <x:c r="J67" s="16" t="n">
        <x:f>ROUND(AVERAGE(E67:I67),1)</x:f>
        <x:v>67.4</x:v>
      </x:c>
      <x:c r="K67" s="16" t="str">
        <x:v>いいえ</x:v>
      </x:c>
      <x:c r="L67" s="16" t="str">
        <x:v>青葉小</x:v>
      </x:c>
      <x:c r="M67" s="16" t="str">
        <x:v>いいえ</x:v>
      </x:c>
      <x:c r="N67" s="16" t="n">
        <x:v>3</x:v>
      </x:c>
      <x:c r="O67" s="16" t="str"/>
    </x:row>
    <x:row r="68">
      <x:c r="A68" s="16" t="str">
        <x:v>前田 葵</x:v>
      </x:c>
      <x:c r="B68" s="16" t="str">
        <x:v>女</x:v>
      </x:c>
      <x:c r="C68" s="16" t="str">
        <x:v>3組</x:v>
      </x:c>
      <x:c r="D68" s="16" t="n">
        <x:v>2</x:v>
      </x:c>
      <x:c r="E68" s="16" t="n">
        <x:v>53</x:v>
      </x:c>
      <x:c r="F68" s="16" t="n">
        <x:v>60</x:v>
      </x:c>
      <x:c r="G68" s="16" t="n">
        <x:v>56</x:v>
      </x:c>
      <x:c r="H68" s="16" t="n">
        <x:v>55</x:v>
      </x:c>
      <x:c r="I68" s="16" t="n">
        <x:v>58</x:v>
      </x:c>
      <x:c r="J68" s="16" t="n">
        <x:f>ROUND(AVERAGE(E68:I68),1)</x:f>
        <x:v>56.4</x:v>
      </x:c>
      <x:c r="K68" s="16" t="str">
        <x:v>いいえ</x:v>
      </x:c>
      <x:c r="L68" s="16" t="str">
        <x:v>中央小</x:v>
      </x:c>
      <x:c r="M68" s="16" t="str">
        <x:v>いいえ</x:v>
      </x:c>
      <x:c r="N68" s="16" t="n">
        <x:v>2</x:v>
      </x:c>
      <x:c r="O68" s="16" t="str"/>
    </x:row>
    <x:row r="69">
      <x:c r="A69" s="16" t="str">
        <x:v>藤井 陽太</x:v>
      </x:c>
      <x:c r="B69" s="16" t="str">
        <x:v>男</x:v>
      </x:c>
      <x:c r="C69" s="16" t="str">
        <x:v>1組</x:v>
      </x:c>
      <x:c r="D69" s="16" t="n">
        <x:v>3</x:v>
      </x:c>
      <x:c r="E69" s="16" t="n">
        <x:v>87</x:v>
      </x:c>
      <x:c r="F69" s="16" t="n">
        <x:v>73</x:v>
      </x:c>
      <x:c r="G69" s="16" t="n">
        <x:v>79</x:v>
      </x:c>
      <x:c r="H69" s="16" t="n">
        <x:v>78</x:v>
      </x:c>
      <x:c r="I69" s="16" t="n">
        <x:v>81</x:v>
      </x:c>
      <x:c r="J69" s="16" t="n">
        <x:f>ROUND(AVERAGE(E69:I69),1)</x:f>
        <x:v>79.6</x:v>
      </x:c>
      <x:c r="K69" s="16" t="str">
        <x:v>いいえ</x:v>
      </x:c>
      <x:c r="L69" s="16" t="str">
        <x:v>みなと小</x:v>
      </x:c>
      <x:c r="M69" s="16" t="str">
        <x:v>いいえ</x:v>
      </x:c>
      <x:c r="N69" s="16" t="n">
        <x:v>3</x:v>
      </x:c>
      <x:c r="O69" s="16" t="str"/>
    </x:row>
    <x:row r="70">
      <x:c r="A70" s="16" t="str">
        <x:v>青木 さくら</x:v>
      </x:c>
      <x:c r="B70" s="16" t="str">
        <x:v>女</x:v>
      </x:c>
      <x:c r="C70" s="16" t="str">
        <x:v>2組</x:v>
      </x:c>
      <x:c r="D70" s="16" t="n">
        <x:v>3</x:v>
      </x:c>
      <x:c r="E70" s="16" t="n">
        <x:v>75</x:v>
      </x:c>
      <x:c r="F70" s="16" t="n">
        <x:v>74</x:v>
      </x:c>
      <x:c r="G70" s="16" t="n">
        <x:v>70</x:v>
      </x:c>
      <x:c r="H70" s="16" t="n">
        <x:v>73</x:v>
      </x:c>
      <x:c r="I70" s="16" t="n">
        <x:v>75</x:v>
      </x:c>
      <x:c r="J70" s="16" t="n">
        <x:f>ROUND(AVERAGE(E70:I70),1)</x:f>
        <x:v>73.4</x:v>
      </x:c>
      <x:c r="K70" s="16" t="str">
        <x:v>はい</x:v>
      </x:c>
      <x:c r="L70" s="16" t="str">
        <x:v>桜台小</x:v>
      </x:c>
      <x:c r="M70" s="16" t="str">
        <x:v>いいえ</x:v>
      </x:c>
      <x:c r="N70" s="16" t="n">
        <x:v>2</x:v>
      </x:c>
      <x:c r="O70" s="16" t="str"/>
    </x:row>
    <x:row r="71">
      <x:c r="A71" s="16" t="str">
        <x:v>坂本 颯太</x:v>
      </x:c>
      <x:c r="B71" s="16" t="str">
        <x:v>男</x:v>
      </x:c>
      <x:c r="C71" s="16" t="str">
        <x:v>3組</x:v>
      </x:c>
      <x:c r="D71" s="16" t="n">
        <x:v>2</x:v>
      </x:c>
      <x:c r="E71" s="16" t="n">
        <x:v>72</x:v>
      </x:c>
      <x:c r="F71" s="16" t="n">
        <x:v>65</x:v>
      </x:c>
      <x:c r="G71" s="16" t="n">
        <x:v>73</x:v>
      </x:c>
      <x:c r="H71" s="16" t="n">
        <x:v>75</x:v>
      </x:c>
      <x:c r="I71" s="16" t="n">
        <x:v>74</x:v>
      </x:c>
      <x:c r="J71" s="16" t="n">
        <x:f>ROUND(AVERAGE(E71:I71),1)</x:f>
        <x:v>71.8</x:v>
      </x:c>
      <x:c r="K71" s="16" t="str">
        <x:v>はい</x:v>
      </x:c>
      <x:c r="L71" s="16" t="str">
        <x:v>若葉小</x:v>
      </x:c>
      <x:c r="M71" s="16" t="str">
        <x:v>はい</x:v>
      </x:c>
      <x:c r="N71" s="16" t="n">
        <x:v>4</x:v>
      </x:c>
      <x:c r="O71" s="16" t="str">
        <x:v>座席配慮</x:v>
      </x:c>
    </x:row>
    <x:row r="72">
      <x:c r="A72" s="16" t="str">
        <x:v>遠藤 凛</x:v>
      </x:c>
      <x:c r="B72" s="16" t="str">
        <x:v>女</x:v>
      </x:c>
      <x:c r="C72" s="16" t="str">
        <x:v>1組</x:v>
      </x:c>
      <x:c r="D72" s="16" t="n">
        <x:v>3</x:v>
      </x:c>
      <x:c r="E72" s="16" t="n">
        <x:v>67</x:v>
      </x:c>
      <x:c r="F72" s="16" t="n">
        <x:v>72</x:v>
      </x:c>
      <x:c r="G72" s="16" t="n">
        <x:v>71</x:v>
      </x:c>
      <x:c r="H72" s="16" t="n">
        <x:v>63</x:v>
      </x:c>
      <x:c r="I72" s="16" t="n">
        <x:v>73</x:v>
      </x:c>
      <x:c r="J72" s="16" t="n">
        <x:f>ROUND(AVERAGE(E72:I72),1)</x:f>
        <x:v>69.2</x:v>
      </x:c>
      <x:c r="K72" s="16" t="str">
        <x:v>いいえ</x:v>
      </x:c>
      <x:c r="L72" s="16" t="str">
        <x:v>青葉小</x:v>
      </x:c>
      <x:c r="M72" s="16" t="str">
        <x:v>いいえ</x:v>
      </x:c>
      <x:c r="N72" s="16" t="n">
        <x:v>2</x:v>
      </x:c>
      <x:c r="O72" s="16" t="str"/>
    </x:row>
    <x:row r="73">
      <x:c r="A73" s="16" t="str">
        <x:v>田中 悠真</x:v>
      </x:c>
      <x:c r="B73" s="16" t="str">
        <x:v>男</x:v>
      </x:c>
      <x:c r="C73" s="16" t="str">
        <x:v>2組</x:v>
      </x:c>
      <x:c r="D73" s="16" t="n">
        <x:v>3</x:v>
      </x:c>
      <x:c r="E73" s="16" t="n">
        <x:v>90</x:v>
      </x:c>
      <x:c r="F73" s="16" t="n">
        <x:v>84</x:v>
      </x:c>
      <x:c r="G73" s="16" t="n">
        <x:v>87</x:v>
      </x:c>
      <x:c r="H73" s="16" t="n">
        <x:v>82</x:v>
      </x:c>
      <x:c r="I73" s="16" t="n">
        <x:v>87</x:v>
      </x:c>
      <x:c r="J73" s="16" t="n">
        <x:f>ROUND(AVERAGE(E73:I73),1)</x:f>
        <x:v>86</x:v>
      </x:c>
      <x:c r="K73" s="16" t="str">
        <x:v>いいえ</x:v>
      </x:c>
      <x:c r="L73" s="16" t="str">
        <x:v>中央小</x:v>
      </x:c>
      <x:c r="M73" s="16" t="str">
        <x:v>いいえ</x:v>
      </x:c>
      <x:c r="N73" s="16" t="n">
        <x:v>3</x:v>
      </x:c>
      <x:c r="O73" s="16" t="str"/>
    </x:row>
    <x:row r="74">
      <x:c r="A74" s="16" t="str">
        <x:v>佐藤 結菜</x:v>
      </x:c>
      <x:c r="B74" s="16" t="str">
        <x:v>女</x:v>
      </x:c>
      <x:c r="C74" s="16" t="str">
        <x:v>3組</x:v>
      </x:c>
      <x:c r="D74" s="16" t="n">
        <x:v>3</x:v>
      </x:c>
      <x:c r="E74" s="16" t="n">
        <x:v>81</x:v>
      </x:c>
      <x:c r="F74" s="16" t="n">
        <x:v>83</x:v>
      </x:c>
      <x:c r="G74" s="16" t="n">
        <x:v>78</x:v>
      </x:c>
      <x:c r="H74" s="16" t="n">
        <x:v>81</x:v>
      </x:c>
      <x:c r="I74" s="16" t="n">
        <x:v>77</x:v>
      </x:c>
      <x:c r="J74" s="16" t="n">
        <x:f>ROUND(AVERAGE(E74:I74),1)</x:f>
        <x:v>80</x:v>
      </x:c>
      <x:c r="K74" s="16" t="str">
        <x:v>いいえ</x:v>
      </x:c>
      <x:c r="L74" s="16" t="str">
        <x:v>みなと小</x:v>
      </x:c>
      <x:c r="M74" s="16" t="str">
        <x:v>いいえ</x:v>
      </x:c>
      <x:c r="N74" s="16" t="n">
        <x:v>2</x:v>
      </x:c>
      <x:c r="O74" s="16" t="str"/>
    </x:row>
    <x:row r="75">
      <x:c r="A75" s="16" t="str">
        <x:v>鈴木 陸</x:v>
      </x:c>
      <x:c r="B75" s="16" t="str">
        <x:v>男</x:v>
      </x:c>
      <x:c r="C75" s="16" t="str">
        <x:v>1組</x:v>
      </x:c>
      <x:c r="D75" s="16" t="n">
        <x:v>3</x:v>
      </x:c>
      <x:c r="E75" s="16" t="n">
        <x:v>53</x:v>
      </x:c>
      <x:c r="F75" s="16" t="n">
        <x:v>49</x:v>
      </x:c>
      <x:c r="G75" s="16" t="n">
        <x:v>46</x:v>
      </x:c>
      <x:c r="H75" s="16" t="n">
        <x:v>47</x:v>
      </x:c>
      <x:c r="I75" s="16" t="n">
        <x:v>43</x:v>
      </x:c>
      <x:c r="J75" s="16" t="n">
        <x:f>ROUND(AVERAGE(E75:I75),1)</x:f>
        <x:v>47.6</x:v>
      </x:c>
      <x:c r="K75" s="16" t="str">
        <x:v>いいえ</x:v>
      </x:c>
      <x:c r="L75" s="16" t="str">
        <x:v>中央小</x:v>
      </x:c>
      <x:c r="M75" s="16" t="str">
        <x:v>いいえ</x:v>
      </x:c>
      <x:c r="N75" s="16" t="n">
        <x:v>1</x:v>
      </x:c>
      <x:c r="O75" s="16" t="str"/>
    </x:row>
    <x:row r="76">
      <x:c r="A76" s="16" t="str">
        <x:v>高橋 美月</x:v>
      </x:c>
      <x:c r="B76" s="16" t="str">
        <x:v>女</x:v>
      </x:c>
      <x:c r="C76" s="16" t="str">
        <x:v>2組</x:v>
      </x:c>
      <x:c r="D76" s="16" t="n">
        <x:v>2</x:v>
      </x:c>
      <x:c r="E76" s="16" t="n">
        <x:v>77</x:v>
      </x:c>
      <x:c r="F76" s="16" t="n">
        <x:v>83</x:v>
      </x:c>
      <x:c r="G76" s="16" t="n">
        <x:v>81</x:v>
      </x:c>
      <x:c r="H76" s="16" t="n">
        <x:v>84</x:v>
      </x:c>
      <x:c r="I76" s="16" t="n">
        <x:v>84</x:v>
      </x:c>
      <x:c r="J76" s="16" t="n">
        <x:f>ROUND(AVERAGE(E76:I76),1)</x:f>
        <x:v>81.8</x:v>
      </x:c>
      <x:c r="K76" s="16" t="str">
        <x:v>いいえ</x:v>
      </x:c>
      <x:c r="L76" s="16" t="str">
        <x:v>みなと小</x:v>
      </x:c>
      <x:c r="M76" s="16" t="str">
        <x:v>いいえ</x:v>
      </x:c>
      <x:c r="N76" s="16" t="n">
        <x:v>2</x:v>
      </x:c>
      <x:c r="O76" s="16" t="str"/>
    </x:row>
    <x:row r="77">
      <x:c r="A77" s="16" t="str">
        <x:v>伊藤 拓海</x:v>
      </x:c>
      <x:c r="B77" s="16" t="str">
        <x:v>男</x:v>
      </x:c>
      <x:c r="C77" s="16" t="str">
        <x:v>3組</x:v>
      </x:c>
      <x:c r="D77" s="16" t="n">
        <x:v>3</x:v>
      </x:c>
      <x:c r="E77" s="16" t="n">
        <x:v>59</x:v>
      </x:c>
      <x:c r="F77" s="16" t="n">
        <x:v>49</x:v>
      </x:c>
      <x:c r="G77" s="16" t="n">
        <x:v>61</x:v>
      </x:c>
      <x:c r="H77" s="16" t="n">
        <x:v>62</x:v>
      </x:c>
      <x:c r="I77" s="16" t="n">
        <x:v>56</x:v>
      </x:c>
      <x:c r="J77" s="16" t="n">
        <x:f>ROUND(AVERAGE(E77:I77),1)</x:f>
        <x:v>57.4</x:v>
      </x:c>
      <x:c r="K77" s="16" t="str">
        <x:v>いいえ</x:v>
      </x:c>
      <x:c r="L77" s="16" t="str">
        <x:v>桜台小</x:v>
      </x:c>
      <x:c r="M77" s="16" t="str">
        <x:v>いいえ</x:v>
      </x:c>
      <x:c r="N77" s="16" t="n">
        <x:v>2</x:v>
      </x:c>
      <x:c r="O77" s="16" t="str"/>
    </x:row>
    <x:row r="78">
      <x:c r="A78" s="16" t="str">
        <x:v>山本 心春</x:v>
      </x:c>
      <x:c r="B78" s="16" t="str">
        <x:v>女</x:v>
      </x:c>
      <x:c r="C78" s="16" t="str">
        <x:v>1組</x:v>
      </x:c>
      <x:c r="D78" s="16" t="n">
        <x:v>3</x:v>
      </x:c>
      <x:c r="E78" s="16" t="n">
        <x:v>51</x:v>
      </x:c>
      <x:c r="F78" s="16" t="n">
        <x:v>48</x:v>
      </x:c>
      <x:c r="G78" s="16" t="n">
        <x:v>54</x:v>
      </x:c>
      <x:c r="H78" s="16" t="n">
        <x:v>58</x:v>
      </x:c>
      <x:c r="I78" s="16" t="n">
        <x:v>54</x:v>
      </x:c>
      <x:c r="J78" s="16" t="n">
        <x:f>ROUND(AVERAGE(E78:I78),1)</x:f>
        <x:v>53</x:v>
      </x:c>
      <x:c r="K78" s="16" t="str">
        <x:v>いいえ</x:v>
      </x:c>
      <x:c r="L78" s="16" t="str">
        <x:v>若葉小</x:v>
      </x:c>
      <x:c r="M78" s="16" t="str">
        <x:v>いいえ</x:v>
      </x:c>
      <x:c r="N78" s="16" t="n">
        <x:v>4</x:v>
      </x:c>
      <x:c r="O78" s="16" t="str"/>
    </x:row>
    <x:row r="79">
      <x:c r="A79" s="16" t="str">
        <x:v>中村 湊</x:v>
      </x:c>
      <x:c r="B79" s="16" t="str">
        <x:v>男</x:v>
      </x:c>
      <x:c r="C79" s="16" t="str">
        <x:v>2組</x:v>
      </x:c>
      <x:c r="D79" s="16" t="n">
        <x:v>2</x:v>
      </x:c>
      <x:c r="E79" s="16" t="n">
        <x:v>69</x:v>
      </x:c>
      <x:c r="F79" s="16" t="n">
        <x:v>69</x:v>
      </x:c>
      <x:c r="G79" s="16" t="n">
        <x:v>71</x:v>
      </x:c>
      <x:c r="H79" s="16" t="n">
        <x:v>65</x:v>
      </x:c>
      <x:c r="I79" s="16" t="n">
        <x:v>70</x:v>
      </x:c>
      <x:c r="J79" s="16" t="n">
        <x:f>ROUND(AVERAGE(E79:I79),1)</x:f>
        <x:v>68.8</x:v>
      </x:c>
      <x:c r="K79" s="16" t="str">
        <x:v>いいえ</x:v>
      </x:c>
      <x:c r="L79" s="16" t="str">
        <x:v>青葉小</x:v>
      </x:c>
      <x:c r="M79" s="16" t="str">
        <x:v>いいえ</x:v>
      </x:c>
      <x:c r="N79" s="16" t="n">
        <x:v>3</x:v>
      </x:c>
      <x:c r="O79" s="16" t="str"/>
    </x:row>
    <x:row r="80">
      <x:c r="A80" s="16" t="str">
        <x:v>小林 陽菜</x:v>
      </x:c>
      <x:c r="B80" s="16" t="str">
        <x:v>女</x:v>
      </x:c>
      <x:c r="C80" s="16" t="str">
        <x:v>3組</x:v>
      </x:c>
      <x:c r="D80" s="16" t="n">
        <x:v>1</x:v>
      </x:c>
      <x:c r="E80" s="16" t="n">
        <x:v>83</x:v>
      </x:c>
      <x:c r="F80" s="16" t="n">
        <x:v>76</x:v>
      </x:c>
      <x:c r="G80" s="16" t="n">
        <x:v>74</x:v>
      </x:c>
      <x:c r="H80" s="16" t="n">
        <x:v>78</x:v>
      </x:c>
      <x:c r="I80" s="16" t="n">
        <x:v>85</x:v>
      </x:c>
      <x:c r="J80" s="16" t="n">
        <x:f>ROUND(AVERAGE(E80:I80),1)</x:f>
        <x:v>79.2</x:v>
      </x:c>
      <x:c r="K80" s="16" t="str">
        <x:v>いいえ</x:v>
      </x:c>
      <x:c r="L80" s="16" t="str">
        <x:v>中央小</x:v>
      </x:c>
      <x:c r="M80" s="16" t="str">
        <x:v>はい</x:v>
      </x:c>
      <x:c r="N80" s="16" t="n">
        <x:v>3</x:v>
      </x:c>
      <x:c r="O80" s="16" t="str"/>
    </x:row>
    <x:row r="81">
      <x:c r="A81" s="16" t="str">
        <x:v>加藤 蒼</x:v>
      </x:c>
      <x:c r="B81" s="16" t="str">
        <x:v>男</x:v>
      </x:c>
      <x:c r="C81" s="16" t="str">
        <x:v>1組</x:v>
      </x:c>
      <x:c r="D81" s="16" t="n">
        <x:v>2</x:v>
      </x:c>
      <x:c r="E81" s="16" t="n">
        <x:v>67</x:v>
      </x:c>
      <x:c r="F81" s="16" t="n">
        <x:v>61</x:v>
      </x:c>
      <x:c r="G81" s="16" t="n">
        <x:v>63</x:v>
      </x:c>
      <x:c r="H81" s="16" t="n">
        <x:v>64</x:v>
      </x:c>
      <x:c r="I81" s="16" t="n">
        <x:v>66</x:v>
      </x:c>
      <x:c r="J81" s="16" t="n">
        <x:f>ROUND(AVERAGE(E81:I81),1)</x:f>
        <x:v>64.2</x:v>
      </x:c>
      <x:c r="K81" s="16" t="str">
        <x:v>いいえ</x:v>
      </x:c>
      <x:c r="L81" s="16" t="str">
        <x:v>みなと小</x:v>
      </x:c>
      <x:c r="M81" s="16" t="str">
        <x:v>いいえ</x:v>
      </x:c>
      <x:c r="N81" s="16" t="n">
        <x:v>4</x:v>
      </x:c>
      <x:c r="O81" s="16" t="str"/>
    </x:row>
    <x:row r="82">
      <x:c r="A82" s="16" t="str">
        <x:v>吉田 莉子</x:v>
      </x:c>
      <x:c r="B82" s="16" t="str">
        <x:v>女</x:v>
      </x:c>
      <x:c r="C82" s="16" t="str">
        <x:v>2組</x:v>
      </x:c>
      <x:c r="D82" s="16" t="n">
        <x:v>2</x:v>
      </x:c>
      <x:c r="E82" s="16" t="n">
        <x:v>54</x:v>
      </x:c>
      <x:c r="F82" s="16" t="n">
        <x:v>60</x:v>
      </x:c>
      <x:c r="G82" s="16" t="n">
        <x:v>63</x:v>
      </x:c>
      <x:c r="H82" s="16" t="n">
        <x:v>62</x:v>
      </x:c>
      <x:c r="I82" s="16" t="n">
        <x:v>60</x:v>
      </x:c>
      <x:c r="J82" s="16" t="n">
        <x:f>ROUND(AVERAGE(E82:I82),1)</x:f>
        <x:v>59.8</x:v>
      </x:c>
      <x:c r="K82" s="16" t="str">
        <x:v>いいえ</x:v>
      </x:c>
      <x:c r="L82" s="16" t="str">
        <x:v>桜台小</x:v>
      </x:c>
      <x:c r="M82" s="16" t="str">
        <x:v>いいえ</x:v>
      </x:c>
      <x:c r="N82" s="16" t="n">
        <x:v>4</x:v>
      </x:c>
      <x:c r="O82" s="16" t="str"/>
    </x:row>
    <x:row r="83">
      <x:c r="A83" s="16" t="str">
        <x:v>山田 樹</x:v>
      </x:c>
      <x:c r="B83" s="16" t="str">
        <x:v>男</x:v>
      </x:c>
      <x:c r="C83" s="16" t="str">
        <x:v>3組</x:v>
      </x:c>
      <x:c r="D83" s="16" t="n">
        <x:v>3</x:v>
      </x:c>
      <x:c r="E83" s="16" t="n">
        <x:v>52</x:v>
      </x:c>
      <x:c r="F83" s="16" t="n">
        <x:v>51</x:v>
      </x:c>
      <x:c r="G83" s="16" t="n">
        <x:v>58</x:v>
      </x:c>
      <x:c r="H83" s="16" t="n">
        <x:v>42</x:v>
      </x:c>
      <x:c r="I83" s="16" t="n">
        <x:v>53</x:v>
      </x:c>
      <x:c r="J83" s="16" t="n">
        <x:f>ROUND(AVERAGE(E83:I83),1)</x:f>
        <x:v>51.2</x:v>
      </x:c>
      <x:c r="K83" s="16" t="str">
        <x:v>いいえ</x:v>
      </x:c>
      <x:c r="L83" s="16" t="str">
        <x:v>若葉小</x:v>
      </x:c>
      <x:c r="M83" s="16" t="str">
        <x:v>いいえ</x:v>
      </x:c>
      <x:c r="N83" s="16" t="n">
        <x:v>2</x:v>
      </x:c>
      <x:c r="O83" s="16" t="str"/>
    </x:row>
    <x:row r="84">
      <x:c r="A84" s="16" t="str">
        <x:v>松本 彩乃</x:v>
      </x:c>
      <x:c r="B84" s="16" t="str">
        <x:v>女</x:v>
      </x:c>
      <x:c r="C84" s="16" t="str">
        <x:v>1組</x:v>
      </x:c>
      <x:c r="D84" s="16" t="n">
        <x:v>4</x:v>
      </x:c>
      <x:c r="E84" s="16" t="n">
        <x:v>57</x:v>
      </x:c>
      <x:c r="F84" s="16" t="n">
        <x:v>53</x:v>
      </x:c>
      <x:c r="G84" s="16" t="n">
        <x:v>52</x:v>
      </x:c>
      <x:c r="H84" s="16" t="n">
        <x:v>57</x:v>
      </x:c>
      <x:c r="I84" s="16" t="n">
        <x:v>56</x:v>
      </x:c>
      <x:c r="J84" s="16" t="n">
        <x:f>ROUND(AVERAGE(E84:I84),1)</x:f>
        <x:v>55</x:v>
      </x:c>
      <x:c r="K84" s="16" t="str">
        <x:v>いいえ</x:v>
      </x:c>
      <x:c r="L84" s="16" t="str">
        <x:v>桜台小</x:v>
      </x:c>
      <x:c r="M84" s="16" t="str">
        <x:v>はい</x:v>
      </x:c>
      <x:c r="N84" s="16" t="n">
        <x:v>4</x:v>
      </x:c>
      <x:c r="O84" s="16" t="str"/>
    </x:row>
    <x:row r="85">
      <x:c r="A85" s="16" t="str">
        <x:v>井上 颯</x:v>
      </x:c>
      <x:c r="B85" s="16" t="str">
        <x:v>男</x:v>
      </x:c>
      <x:c r="C85" s="16" t="str">
        <x:v>2組</x:v>
      </x:c>
      <x:c r="D85" s="16" t="n">
        <x:v>3</x:v>
      </x:c>
      <x:c r="E85" s="16" t="n">
        <x:v>83</x:v>
      </x:c>
      <x:c r="F85" s="16" t="n">
        <x:v>95</x:v>
      </x:c>
      <x:c r="G85" s="16" t="n">
        <x:v>92</x:v>
      </x:c>
      <x:c r="H85" s="16" t="n">
        <x:v>79</x:v>
      </x:c>
      <x:c r="I85" s="16" t="n">
        <x:v>83</x:v>
      </x:c>
      <x:c r="J85" s="16" t="n">
        <x:f>ROUND(AVERAGE(E85:I85),1)</x:f>
        <x:v>86.4</x:v>
      </x:c>
      <x:c r="K85" s="16" t="str">
        <x:v>いいえ</x:v>
      </x:c>
      <x:c r="L85" s="16" t="str">
        <x:v>若葉小</x:v>
      </x:c>
      <x:c r="M85" s="16" t="str">
        <x:v>はい</x:v>
      </x:c>
      <x:c r="N85" s="16" t="n">
        <x:v>4</x:v>
      </x:c>
      <x:c r="O85" s="16" t="str"/>
    </x:row>
    <x:row r="86">
      <x:c r="A86" s="16" t="str">
        <x:v>木村 七海</x:v>
      </x:c>
      <x:c r="B86" s="16" t="str">
        <x:v>女</x:v>
      </x:c>
      <x:c r="C86" s="16" t="str">
        <x:v>3組</x:v>
      </x:c>
      <x:c r="D86" s="16" t="n">
        <x:v>4</x:v>
      </x:c>
      <x:c r="E86" s="16" t="n">
        <x:v>80</x:v>
      </x:c>
      <x:c r="F86" s="16" t="n">
        <x:v>80</x:v>
      </x:c>
      <x:c r="G86" s="16" t="n">
        <x:v>81</x:v>
      </x:c>
      <x:c r="H86" s="16" t="n">
        <x:v>89</x:v>
      </x:c>
      <x:c r="I86" s="16" t="n">
        <x:v>85</x:v>
      </x:c>
      <x:c r="J86" s="16" t="n">
        <x:f>ROUND(AVERAGE(E86:I86),1)</x:f>
        <x:v>83</x:v>
      </x:c>
      <x:c r="K86" s="16" t="str">
        <x:v>いいえ</x:v>
      </x:c>
      <x:c r="L86" s="16" t="str">
        <x:v>青葉小</x:v>
      </x:c>
      <x:c r="M86" s="16" t="str">
        <x:v>いいえ</x:v>
      </x:c>
      <x:c r="N86" s="16" t="n">
        <x:v>5</x:v>
      </x:c>
      <x:c r="O86" s="16" t="str"/>
    </x:row>
    <x:row r="87">
      <x:c r="A87" s="16" t="str">
        <x:v>林 陽翔</x:v>
      </x:c>
      <x:c r="B87" s="16" t="str">
        <x:v>男</x:v>
      </x:c>
      <x:c r="C87" s="16" t="str">
        <x:v>1組</x:v>
      </x:c>
      <x:c r="D87" s="16" t="n">
        <x:v>3</x:v>
      </x:c>
      <x:c r="E87" s="16" t="n">
        <x:v>53</x:v>
      </x:c>
      <x:c r="F87" s="16" t="n">
        <x:v>55</x:v>
      </x:c>
      <x:c r="G87" s="16" t="n">
        <x:v>54</x:v>
      </x:c>
      <x:c r="H87" s="16" t="n">
        <x:v>47</x:v>
      </x:c>
      <x:c r="I87" s="16" t="n">
        <x:v>61</x:v>
      </x:c>
      <x:c r="J87" s="16" t="n">
        <x:f>ROUND(AVERAGE(E87:I87),1)</x:f>
        <x:v>54</x:v>
      </x:c>
      <x:c r="K87" s="16" t="str">
        <x:v>いいえ</x:v>
      </x:c>
      <x:c r="L87" s="16" t="str">
        <x:v>中央小</x:v>
      </x:c>
      <x:c r="M87" s="16" t="str">
        <x:v>いいえ</x:v>
      </x:c>
      <x:c r="N87" s="16" t="n">
        <x:v>3</x:v>
      </x:c>
      <x:c r="O87" s="16" t="str"/>
    </x:row>
    <x:row r="88">
      <x:c r="A88" s="16" t="str">
        <x:v>清水 愛莉</x:v>
      </x:c>
      <x:c r="B88" s="16" t="str">
        <x:v>女</x:v>
      </x:c>
      <x:c r="C88" s="16" t="str">
        <x:v>2組</x:v>
      </x:c>
      <x:c r="D88" s="16" t="n">
        <x:v>4</x:v>
      </x:c>
      <x:c r="E88" s="16" t="n">
        <x:v>79</x:v>
      </x:c>
      <x:c r="F88" s="16" t="n">
        <x:v>82</x:v>
      </x:c>
      <x:c r="G88" s="16" t="n">
        <x:v>82</x:v>
      </x:c>
      <x:c r="H88" s="16" t="n">
        <x:v>76</x:v>
      </x:c>
      <x:c r="I88" s="16" t="n">
        <x:v>78</x:v>
      </x:c>
      <x:c r="J88" s="16" t="n">
        <x:f>ROUND(AVERAGE(E88:I88),1)</x:f>
        <x:v>79.4</x:v>
      </x:c>
      <x:c r="K88" s="16" t="str">
        <x:v>いいえ</x:v>
      </x:c>
      <x:c r="L88" s="16" t="str">
        <x:v>みなと小</x:v>
      </x:c>
      <x:c r="M88" s="16" t="str">
        <x:v>いいえ</x:v>
      </x:c>
      <x:c r="N88" s="16" t="n">
        <x:v>3</x:v>
      </x:c>
      <x:c r="O88" s="16" t="str"/>
    </x:row>
    <x:row r="89">
      <x:c r="A89" s="16" t="str">
        <x:v>斎藤 航</x:v>
      </x:c>
      <x:c r="B89" s="16" t="str">
        <x:v>男</x:v>
      </x:c>
      <x:c r="C89" s="16" t="str">
        <x:v>3組</x:v>
      </x:c>
      <x:c r="D89" s="16" t="n">
        <x:v>3</x:v>
      </x:c>
      <x:c r="E89" s="16" t="n">
        <x:v>84</x:v>
      </x:c>
      <x:c r="F89" s="16" t="n">
        <x:v>97</x:v>
      </x:c>
      <x:c r="G89" s="16" t="n">
        <x:v>93</x:v>
      </x:c>
      <x:c r="H89" s="16" t="n">
        <x:v>94</x:v>
      </x:c>
      <x:c r="I89" s="16" t="n">
        <x:v>87</x:v>
      </x:c>
      <x:c r="J89" s="16" t="n">
        <x:f>ROUND(AVERAGE(E89:I89),1)</x:f>
        <x:v>91</x:v>
      </x:c>
      <x:c r="K89" s="16" t="str">
        <x:v>いいえ</x:v>
      </x:c>
      <x:c r="L89" s="16" t="str">
        <x:v>桜台小</x:v>
      </x:c>
      <x:c r="M89" s="16" t="str">
        <x:v>いいえ</x:v>
      </x:c>
      <x:c r="N89" s="16" t="n">
        <x:v>5</x:v>
      </x:c>
      <x:c r="O89" s="16" t="str"/>
    </x:row>
    <x:row r="90">
      <x:c r="A90" s="16" t="str">
        <x:v>森 結月</x:v>
      </x:c>
      <x:c r="B90" s="16" t="str">
        <x:v>女</x:v>
      </x:c>
      <x:c r="C90" s="16" t="str">
        <x:v>1組</x:v>
      </x:c>
      <x:c r="D90" s="16" t="n">
        <x:v>3</x:v>
      </x:c>
      <x:c r="E90" s="16" t="n">
        <x:v>83</x:v>
      </x:c>
      <x:c r="F90" s="16" t="n">
        <x:v>82</x:v>
      </x:c>
      <x:c r="G90" s="16" t="n">
        <x:v>85</x:v>
      </x:c>
      <x:c r="H90" s="16" t="n">
        <x:v>87</x:v>
      </x:c>
      <x:c r="I90" s="16" t="n">
        <x:v>93</x:v>
      </x:c>
      <x:c r="J90" s="16" t="n">
        <x:f>ROUND(AVERAGE(E90:I90),1)</x:f>
        <x:v>86</x:v>
      </x:c>
      <x:c r="K90" s="16" t="str">
        <x:v>いいえ</x:v>
      </x:c>
      <x:c r="L90" s="16" t="str">
        <x:v>若葉小</x:v>
      </x:c>
      <x:c r="M90" s="16" t="str">
        <x:v>いいえ</x:v>
      </x:c>
      <x:c r="N90" s="16" t="n">
        <x:v>3</x:v>
      </x:c>
      <x:c r="O90" s="16" t="str"/>
    </x:row>
    <x:row r="91">
      <x:c r="A91" s="16" t="str">
        <x:v>池田 朝陽</x:v>
      </x:c>
      <x:c r="B91" s="16" t="str">
        <x:v>男</x:v>
      </x:c>
      <x:c r="C91" s="16" t="str">
        <x:v>2組</x:v>
      </x:c>
      <x:c r="D91" s="16" t="n">
        <x:v>4</x:v>
      </x:c>
      <x:c r="E91" s="16" t="n">
        <x:v>96</x:v>
      </x:c>
      <x:c r="F91" s="16" t="n">
        <x:v>99</x:v>
      </x:c>
      <x:c r="G91" s="16" t="n">
        <x:v>99</x:v>
      </x:c>
      <x:c r="H91" s="16" t="n">
        <x:v>93</x:v>
      </x:c>
      <x:c r="I91" s="16" t="n">
        <x:v>95</x:v>
      </x:c>
      <x:c r="J91" s="16" t="n">
        <x:f>ROUND(AVERAGE(E91:I91),1)</x:f>
        <x:v>96.4</x:v>
      </x:c>
      <x:c r="K91" s="16" t="str">
        <x:v>いいえ</x:v>
      </x:c>
      <x:c r="L91" s="16" t="str">
        <x:v>青葉小</x:v>
      </x:c>
      <x:c r="M91" s="16" t="str">
        <x:v>はい</x:v>
      </x:c>
      <x:c r="N91" s="16" t="n">
        <x:v>4</x:v>
      </x:c>
      <x:c r="O91" s="16" t="str"/>
    </x:row>
    <x:row r="92">
      <x:c r="A92" s="16" t="str">
        <x:v>橋本 ひなた</x:v>
      </x:c>
      <x:c r="B92" s="16" t="str">
        <x:v>女</x:v>
      </x:c>
      <x:c r="C92" s="16" t="str">
        <x:v>3組</x:v>
      </x:c>
      <x:c r="D92" s="16" t="n">
        <x:v>3</x:v>
      </x:c>
      <x:c r="E92" s="16" t="n">
        <x:v>67</x:v>
      </x:c>
      <x:c r="F92" s="16" t="n">
        <x:v>60</x:v>
      </x:c>
      <x:c r="G92" s="16" t="n">
        <x:v>68</x:v>
      </x:c>
      <x:c r="H92" s="16" t="n">
        <x:v>68</x:v>
      </x:c>
      <x:c r="I92" s="16" t="n">
        <x:v>63</x:v>
      </x:c>
      <x:c r="J92" s="16" t="n">
        <x:f>ROUND(AVERAGE(E92:I92),1)</x:f>
        <x:v>65.2</x:v>
      </x:c>
      <x:c r="K92" s="16" t="str">
        <x:v>いいえ</x:v>
      </x:c>
      <x:c r="L92" s="16" t="str">
        <x:v>中央小</x:v>
      </x:c>
      <x:c r="M92" s="16" t="str">
        <x:v>いいえ</x:v>
      </x:c>
      <x:c r="N92" s="16" t="n">
        <x:v>4</x:v>
      </x:c>
      <x:c r="O92" s="16" t="str"/>
    </x:row>
    <x:row r="93">
      <x:c r="A93" s="16" t="str">
        <x:v>阿部 悠斗</x:v>
      </x:c>
      <x:c r="B93" s="16" t="str">
        <x:v>男</x:v>
      </x:c>
      <x:c r="C93" s="16" t="str">
        <x:v>1組</x:v>
      </x:c>
      <x:c r="D93" s="16" t="n">
        <x:v>2</x:v>
      </x:c>
      <x:c r="E93" s="16" t="n">
        <x:v>98</x:v>
      </x:c>
      <x:c r="F93" s="16" t="n">
        <x:v>98</x:v>
      </x:c>
      <x:c r="G93" s="16" t="n">
        <x:v>91</x:v>
      </x:c>
      <x:c r="H93" s="16" t="n">
        <x:v>95</x:v>
      </x:c>
      <x:c r="I93" s="16" t="n">
        <x:v>92</x:v>
      </x:c>
      <x:c r="J93" s="16" t="n">
        <x:f>ROUND(AVERAGE(E93:I93),1)</x:f>
        <x:v>94.8</x:v>
      </x:c>
      <x:c r="K93" s="16" t="str">
        <x:v>いいえ</x:v>
      </x:c>
      <x:c r="L93" s="16" t="str">
        <x:v>青葉小</x:v>
      </x:c>
      <x:c r="M93" s="16" t="str">
        <x:v>はい</x:v>
      </x:c>
      <x:c r="N93" s="16" t="n">
        <x:v>1</x:v>
      </x:c>
      <x:c r="O93" s="16" t="str"/>
    </x:row>
    <x:row r="94">
      <x:c r="A94" s="16" t="str">
        <x:v>石井 美咲</x:v>
      </x:c>
      <x:c r="B94" s="16" t="str">
        <x:v>女</x:v>
      </x:c>
      <x:c r="C94" s="16" t="str">
        <x:v>2組</x:v>
      </x:c>
      <x:c r="D94" s="16" t="n">
        <x:v>2</x:v>
      </x:c>
      <x:c r="E94" s="16" t="n">
        <x:v>97</x:v>
      </x:c>
      <x:c r="F94" s="16" t="n">
        <x:v>89</x:v>
      </x:c>
      <x:c r="G94" s="16" t="n">
        <x:v>93</x:v>
      </x:c>
      <x:c r="H94" s="16" t="n">
        <x:v>87</x:v>
      </x:c>
      <x:c r="I94" s="16" t="n">
        <x:v>94</x:v>
      </x:c>
      <x:c r="J94" s="16" t="n">
        <x:f>ROUND(AVERAGE(E94:I94),1)</x:f>
        <x:v>92</x:v>
      </x:c>
      <x:c r="K94" s="16" t="str">
        <x:v>いいえ</x:v>
      </x:c>
      <x:c r="L94" s="16" t="str">
        <x:v>中央小</x:v>
      </x:c>
      <x:c r="M94" s="16" t="str">
        <x:v>いいえ</x:v>
      </x:c>
      <x:c r="N94" s="16" t="n">
        <x:v>1</x:v>
      </x:c>
      <x:c r="O94" s="16" t="str"/>
    </x:row>
    <x:row r="95">
      <x:c r="A95" s="16" t="str">
        <x:v>山崎 蓮</x:v>
      </x:c>
      <x:c r="B95" s="16" t="str">
        <x:v>男</x:v>
      </x:c>
      <x:c r="C95" s="16" t="str">
        <x:v>3組</x:v>
      </x:c>
      <x:c r="D95" s="16" t="n">
        <x:v>2</x:v>
      </x:c>
      <x:c r="E95" s="16" t="n">
        <x:v>62</x:v>
      </x:c>
      <x:c r="F95" s="16" t="n">
        <x:v>54</x:v>
      </x:c>
      <x:c r="G95" s="16" t="n">
        <x:v>54</x:v>
      </x:c>
      <x:c r="H95" s="16" t="n">
        <x:v>56</x:v>
      </x:c>
      <x:c r="I95" s="16" t="n">
        <x:v>63</x:v>
      </x:c>
      <x:c r="J95" s="16" t="n">
        <x:f>ROUND(AVERAGE(E95:I95),1)</x:f>
        <x:v>57.8</x:v>
      </x:c>
      <x:c r="K95" s="16" t="str">
        <x:v>いいえ</x:v>
      </x:c>
      <x:c r="L95" s="16" t="str">
        <x:v>みなと小</x:v>
      </x:c>
      <x:c r="M95" s="16" t="str">
        <x:v>いいえ</x:v>
      </x:c>
      <x:c r="N95" s="16" t="n">
        <x:v>2</x:v>
      </x:c>
      <x:c r="O95" s="16" t="str"/>
    </x:row>
    <x:row r="96">
      <x:c r="A96" s="16" t="str">
        <x:v>藤田 結衣</x:v>
      </x:c>
      <x:c r="B96" s="16" t="str">
        <x:v>女</x:v>
      </x:c>
      <x:c r="C96" s="16" t="str">
        <x:v>1組</x:v>
      </x:c>
      <x:c r="D96" s="16" t="n">
        <x:v>1</x:v>
      </x:c>
      <x:c r="E96" s="16" t="n">
        <x:v>58</x:v>
      </x:c>
      <x:c r="F96" s="16" t="n">
        <x:v>56</x:v>
      </x:c>
      <x:c r="G96" s="16" t="n">
        <x:v>65</x:v>
      </x:c>
      <x:c r="H96" s="16" t="n">
        <x:v>60</x:v>
      </x:c>
      <x:c r="I96" s="16" t="n">
        <x:v>63</x:v>
      </x:c>
      <x:c r="J96" s="16" t="n">
        <x:f>ROUND(AVERAGE(E96:I96),1)</x:f>
        <x:v>60.4</x:v>
      </x:c>
      <x:c r="K96" s="16" t="str">
        <x:v>いいえ</x:v>
      </x:c>
      <x:c r="L96" s="16" t="str">
        <x:v>桜台小</x:v>
      </x:c>
      <x:c r="M96" s="16" t="str">
        <x:v>いいえ</x:v>
      </x:c>
      <x:c r="N96" s="16" t="n">
        <x:v>2</x:v>
      </x:c>
      <x:c r="O96" s="16" t="str"/>
    </x:row>
    <x:row r="97">
      <x:c r="A97" s="16" t="str">
        <x:v>岡田 大翔</x:v>
      </x:c>
      <x:c r="B97" s="16" t="str">
        <x:v>男</x:v>
      </x:c>
      <x:c r="C97" s="16" t="str">
        <x:v>2組</x:v>
      </x:c>
      <x:c r="D97" s="16" t="n">
        <x:v>1</x:v>
      </x:c>
      <x:c r="E97" s="16" t="n">
        <x:v>94</x:v>
      </x:c>
      <x:c r="F97" s="16" t="n">
        <x:v>87</x:v>
      </x:c>
      <x:c r="G97" s="16" t="n">
        <x:v>87</x:v>
      </x:c>
      <x:c r="H97" s="16" t="n">
        <x:v>99</x:v>
      </x:c>
      <x:c r="I97" s="16" t="n">
        <x:v>94</x:v>
      </x:c>
      <x:c r="J97" s="16" t="n">
        <x:f>ROUND(AVERAGE(E97:I97),1)</x:f>
        <x:v>92.2</x:v>
      </x:c>
      <x:c r="K97" s="16" t="str">
        <x:v>はい</x:v>
      </x:c>
      <x:c r="L97" s="16" t="str">
        <x:v>若葉小</x:v>
      </x:c>
      <x:c r="M97" s="16" t="str">
        <x:v>いいえ</x:v>
      </x:c>
      <x:c r="N97" s="16" t="n">
        <x:v>3</x:v>
      </x:c>
      <x:c r="O97" s="16" t="str">
        <x:v>座席配慮</x:v>
      </x:c>
    </x:row>
    <x:row r="98">
      <x:c r="A98" s="16" t="str">
        <x:v>後藤 葵</x:v>
      </x:c>
      <x:c r="B98" s="16" t="str">
        <x:v>女</x:v>
      </x:c>
      <x:c r="C98" s="16" t="str">
        <x:v>3組</x:v>
      </x:c>
      <x:c r="D98" s="16" t="n">
        <x:v>5</x:v>
      </x:c>
      <x:c r="E98" s="16" t="n">
        <x:v>75</x:v>
      </x:c>
      <x:c r="F98" s="16" t="n">
        <x:v>75</x:v>
      </x:c>
      <x:c r="G98" s="16" t="n">
        <x:v>74</x:v>
      </x:c>
      <x:c r="H98" s="16" t="n">
        <x:v>72</x:v>
      </x:c>
      <x:c r="I98" s="16" t="n">
        <x:v>73</x:v>
      </x:c>
      <x:c r="J98" s="16" t="n">
        <x:f>ROUND(AVERAGE(E98:I98),1)</x:f>
        <x:v>73.8</x:v>
      </x:c>
      <x:c r="K98" s="16" t="str">
        <x:v>いいえ</x:v>
      </x:c>
      <x:c r="L98" s="16" t="str">
        <x:v>青葉小</x:v>
      </x:c>
      <x:c r="M98" s="16" t="str">
        <x:v>いいえ</x:v>
      </x:c>
      <x:c r="N98" s="16" t="n">
        <x:v>3</x:v>
      </x:c>
      <x:c r="O98" s="16" t="str"/>
    </x:row>
    <x:row r="99">
      <x:c r="A99" s="16" t="str">
        <x:v>長谷川 陽太</x:v>
      </x:c>
      <x:c r="B99" s="16" t="str">
        <x:v>男</x:v>
      </x:c>
      <x:c r="C99" s="16" t="str">
        <x:v>1組</x:v>
      </x:c>
      <x:c r="D99" s="16" t="n">
        <x:v>3</x:v>
      </x:c>
      <x:c r="E99" s="16" t="n">
        <x:v>59</x:v>
      </x:c>
      <x:c r="F99" s="16" t="n">
        <x:v>66</x:v>
      </x:c>
      <x:c r="G99" s="16" t="n">
        <x:v>67</x:v>
      </x:c>
      <x:c r="H99" s="16" t="n">
        <x:v>68</x:v>
      </x:c>
      <x:c r="I99" s="16" t="n">
        <x:v>67</x:v>
      </x:c>
      <x:c r="J99" s="16" t="n">
        <x:f>ROUND(AVERAGE(E99:I99),1)</x:f>
        <x:v>65.4</x:v>
      </x:c>
      <x:c r="K99" s="16" t="str">
        <x:v>いいえ</x:v>
      </x:c>
      <x:c r="L99" s="16" t="str">
        <x:v>中央小</x:v>
      </x:c>
      <x:c r="M99" s="16" t="str">
        <x:v>いいえ</x:v>
      </x:c>
      <x:c r="N99" s="16" t="n">
        <x:v>3</x:v>
      </x:c>
      <x:c r="O99" s="16" t="str"/>
    </x:row>
    <x:row r="100">
      <x:c r="A100" s="16" t="str">
        <x:v>村上 さくら</x:v>
      </x:c>
      <x:c r="B100" s="16" t="str">
        <x:v>女</x:v>
      </x:c>
      <x:c r="C100" s="16" t="str">
        <x:v>2組</x:v>
      </x:c>
      <x:c r="D100" s="16" t="n">
        <x:v>2</x:v>
      </x:c>
      <x:c r="E100" s="16" t="n">
        <x:v>61</x:v>
      </x:c>
      <x:c r="F100" s="16" t="n">
        <x:v>59</x:v>
      </x:c>
      <x:c r="G100" s="16" t="n">
        <x:v>68</x:v>
      </x:c>
      <x:c r="H100" s="16" t="n">
        <x:v>73</x:v>
      </x:c>
      <x:c r="I100" s="16" t="n">
        <x:v>65</x:v>
      </x:c>
      <x:c r="J100" s="16" t="n">
        <x:f>ROUND(AVERAGE(E100:I100),1)</x:f>
        <x:v>65.2</x:v>
      </x:c>
      <x:c r="K100" s="16" t="str">
        <x:v>はい</x:v>
      </x:c>
      <x:c r="L100" s="16" t="str">
        <x:v>みなと小</x:v>
      </x:c>
      <x:c r="M100" s="16" t="str">
        <x:v>はい</x:v>
      </x:c>
      <x:c r="N100" s="16" t="n">
        <x:v>2</x:v>
      </x:c>
      <x:c r="O100" s="16" t="str"/>
    </x:row>
    <x:row r="101">
      <x:c r="A101" s="16" t="str">
        <x:v>近藤 颯太</x:v>
      </x:c>
      <x:c r="B101" s="16" t="str">
        <x:v>男</x:v>
      </x:c>
      <x:c r="C101" s="16" t="str">
        <x:v>3組</x:v>
      </x:c>
      <x:c r="D101" s="16" t="n">
        <x:v>4</x:v>
      </x:c>
      <x:c r="E101" s="16" t="n">
        <x:v>88</x:v>
      </x:c>
      <x:c r="F101" s="16" t="n">
        <x:v>79</x:v>
      </x:c>
      <x:c r="G101" s="16" t="n">
        <x:v>75</x:v>
      </x:c>
      <x:c r="H101" s="16" t="n">
        <x:v>83</x:v>
      </x:c>
      <x:c r="I101" s="16" t="n">
        <x:v>88</x:v>
      </x:c>
      <x:c r="J101" s="16" t="n">
        <x:f>ROUND(AVERAGE(E101:I101),1)</x:f>
        <x:v>82.6</x:v>
      </x:c>
      <x:c r="K101" s="16" t="str">
        <x:v>いいえ</x:v>
      </x:c>
      <x:c r="L101" s="16" t="str">
        <x:v>桜台小</x:v>
      </x:c>
      <x:c r="M101" s="16" t="str">
        <x:v>はい</x:v>
      </x:c>
      <x:c r="N101" s="16" t="n">
        <x:v>3</x:v>
      </x:c>
      <x:c r="O101" s="16" t="str"/>
    </x:row>
    <x:row r="102">
      <x:c r="A102" s="16" t="str">
        <x:v>石川 凛</x:v>
      </x:c>
      <x:c r="B102" s="16" t="str">
        <x:v>女</x:v>
      </x:c>
      <x:c r="C102" s="16" t="str">
        <x:v>1組</x:v>
      </x:c>
      <x:c r="D102" s="16" t="n">
        <x:v>3</x:v>
      </x:c>
      <x:c r="E102" s="16" t="n">
        <x:v>60</x:v>
      </x:c>
      <x:c r="F102" s="16" t="n">
        <x:v>58</x:v>
      </x:c>
      <x:c r="G102" s="16" t="n">
        <x:v>58</x:v>
      </x:c>
      <x:c r="H102" s="16" t="n">
        <x:v>62</x:v>
      </x:c>
      <x:c r="I102" s="16" t="n">
        <x:v>56</x:v>
      </x:c>
      <x:c r="J102" s="16" t="n">
        <x:f>ROUND(AVERAGE(E102:I102),1)</x:f>
        <x:v>58.8</x:v>
      </x:c>
      <x:c r="K102" s="16" t="str">
        <x:v>いいえ</x:v>
      </x:c>
      <x:c r="L102" s="16" t="str">
        <x:v>みなと小</x:v>
      </x:c>
      <x:c r="M102" s="16" t="str">
        <x:v>いいえ</x:v>
      </x:c>
      <x:c r="N102" s="16" t="n">
        <x:v>3</x:v>
      </x:c>
      <x:c r="O102" s="16" t="str"/>
    </x:row>
    <x:row r="103">
      <x:c r="A103" s="16" t="str">
        <x:v>前田 悠真</x:v>
      </x:c>
      <x:c r="B103" s="16" t="str">
        <x:v>男</x:v>
      </x:c>
      <x:c r="C103" s="16" t="str">
        <x:v>2組</x:v>
      </x:c>
      <x:c r="D103" s="16" t="n">
        <x:v>4</x:v>
      </x:c>
      <x:c r="E103" s="16" t="n">
        <x:v>89</x:v>
      </x:c>
      <x:c r="F103" s="16" t="n">
        <x:v>85</x:v>
      </x:c>
      <x:c r="G103" s="16" t="n">
        <x:v>90</x:v>
      </x:c>
      <x:c r="H103" s="16" t="n">
        <x:v>84</x:v>
      </x:c>
      <x:c r="I103" s="16" t="n">
        <x:v>90</x:v>
      </x:c>
      <x:c r="J103" s="16" t="n">
        <x:f>ROUND(AVERAGE(E103:I103),1)</x:f>
        <x:v>87.6</x:v>
      </x:c>
      <x:c r="K103" s="16" t="str">
        <x:v>いいえ</x:v>
      </x:c>
      <x:c r="L103" s="16" t="str">
        <x:v>桜台小</x:v>
      </x:c>
      <x:c r="M103" s="16" t="str">
        <x:v>いいえ</x:v>
      </x:c>
      <x:c r="N103" s="16" t="n">
        <x:v>3</x:v>
      </x:c>
      <x:c r="O103" s="16" t="str"/>
    </x:row>
    <x:row r="104">
      <x:c r="A104" s="16" t="str">
        <x:v>藤井 結菜</x:v>
      </x:c>
      <x:c r="B104" s="16" t="str">
        <x:v>女</x:v>
      </x:c>
      <x:c r="C104" s="16" t="str">
        <x:v>3組</x:v>
      </x:c>
      <x:c r="D104" s="16" t="n">
        <x:v>2</x:v>
      </x:c>
      <x:c r="E104" s="16" t="n">
        <x:v>50</x:v>
      </x:c>
      <x:c r="F104" s="16" t="n">
        <x:v>45</x:v>
      </x:c>
      <x:c r="G104" s="16" t="n">
        <x:v>48</x:v>
      </x:c>
      <x:c r="H104" s="16" t="n">
        <x:v>53</x:v>
      </x:c>
      <x:c r="I104" s="16" t="n">
        <x:v>50</x:v>
      </x:c>
      <x:c r="J104" s="16" t="n">
        <x:f>ROUND(AVERAGE(E104:I104),1)</x:f>
        <x:v>49.2</x:v>
      </x:c>
      <x:c r="K104" s="16" t="str">
        <x:v>いいえ</x:v>
      </x:c>
      <x:c r="L104" s="16" t="str">
        <x:v>若葉小</x:v>
      </x:c>
      <x:c r="M104" s="16" t="str">
        <x:v>いいえ</x:v>
      </x:c>
      <x:c r="N104" s="16" t="n">
        <x:v>3</x:v>
      </x:c>
      <x:c r="O104" s="16" t="str"/>
    </x:row>
    <x:row r="105">
      <x:c r="A105" s="16" t="str">
        <x:v>青木 陸</x:v>
      </x:c>
      <x:c r="B105" s="16" t="str">
        <x:v>男</x:v>
      </x:c>
      <x:c r="C105" s="16" t="str">
        <x:v>1組</x:v>
      </x:c>
      <x:c r="D105" s="16" t="n">
        <x:v>1</x:v>
      </x:c>
      <x:c r="E105" s="16" t="n">
        <x:v>66</x:v>
      </x:c>
      <x:c r="F105" s="16" t="n">
        <x:v>76</x:v>
      </x:c>
      <x:c r="G105" s="16" t="n">
        <x:v>66</x:v>
      </x:c>
      <x:c r="H105" s="16" t="n">
        <x:v>69</x:v>
      </x:c>
      <x:c r="I105" s="16" t="n">
        <x:v>73</x:v>
      </x:c>
      <x:c r="J105" s="16" t="n">
        <x:f>ROUND(AVERAGE(E105:I105),1)</x:f>
        <x:v>70</x:v>
      </x:c>
      <x:c r="K105" s="16" t="str">
        <x:v>いいえ</x:v>
      </x:c>
      <x:c r="L105" s="16" t="str">
        <x:v>青葉小</x:v>
      </x:c>
      <x:c r="M105" s="16" t="str">
        <x:v>いいえ</x:v>
      </x:c>
      <x:c r="N105" s="16" t="n">
        <x:v>4</x:v>
      </x:c>
      <x:c r="O105" s="16" t="str"/>
    </x:row>
    <x:row r="106">
      <x:c r="A106" s="16" t="str">
        <x:v>坂本 美月</x:v>
      </x:c>
      <x:c r="B106" s="16" t="str">
        <x:v>女</x:v>
      </x:c>
      <x:c r="C106" s="16" t="str">
        <x:v>2組</x:v>
      </x:c>
      <x:c r="D106" s="16" t="n">
        <x:v>2</x:v>
      </x:c>
      <x:c r="E106" s="16" t="n">
        <x:v>74</x:v>
      </x:c>
      <x:c r="F106" s="16" t="n">
        <x:v>76</x:v>
      </x:c>
      <x:c r="G106" s="16" t="n">
        <x:v>75</x:v>
      </x:c>
      <x:c r="H106" s="16" t="n">
        <x:v>73</x:v>
      </x:c>
      <x:c r="I106" s="16" t="n">
        <x:v>82</x:v>
      </x:c>
      <x:c r="J106" s="16" t="n">
        <x:f>ROUND(AVERAGE(E106:I106),1)</x:f>
        <x:v>76</x:v>
      </x:c>
      <x:c r="K106" s="16" t="str">
        <x:v>いいえ</x:v>
      </x:c>
      <x:c r="L106" s="16" t="str">
        <x:v>中央小</x:v>
      </x:c>
      <x:c r="M106" s="16" t="str">
        <x:v>いいえ</x:v>
      </x:c>
      <x:c r="N106" s="16" t="n">
        <x:v>1</x:v>
      </x:c>
      <x:c r="O106" s="16" t="str"/>
    </x:row>
    <x:row r="107">
      <x:c r="A107" s="16" t="str">
        <x:v>遠藤 拓海</x:v>
      </x:c>
      <x:c r="B107" s="16" t="str">
        <x:v>男</x:v>
      </x:c>
      <x:c r="C107" s="16" t="str">
        <x:v>3組</x:v>
      </x:c>
      <x:c r="D107" s="16" t="n">
        <x:v>2</x:v>
      </x:c>
      <x:c r="E107" s="16" t="n">
        <x:v>57</x:v>
      </x:c>
      <x:c r="F107" s="16" t="n">
        <x:v>54</x:v>
      </x:c>
      <x:c r="G107" s="16" t="n">
        <x:v>57</x:v>
      </x:c>
      <x:c r="H107" s="16" t="n">
        <x:v>55</x:v>
      </x:c>
      <x:c r="I107" s="16" t="n">
        <x:v>55</x:v>
      </x:c>
      <x:c r="J107" s="16" t="n">
        <x:f>ROUND(AVERAGE(E107:I107),1)</x:f>
        <x:v>55.6</x:v>
      </x:c>
      <x:c r="K107" s="16" t="str">
        <x:v>いいえ</x:v>
      </x:c>
      <x:c r="L107" s="16" t="str">
        <x:v>みなと小</x:v>
      </x:c>
      <x:c r="M107" s="16" t="str">
        <x:v>いいえ</x:v>
      </x:c>
      <x:c r="N107" s="16" t="n">
        <x:v>3</x:v>
      </x:c>
      <x:c r="O107" s="16" t="str"/>
    </x:row>
  </x:sheetData>
  <x:conditionalFormatting sqref="D3:D107">
    <x:cfRule type="dataBar" priority="1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{B7956496-98CB-42E5-3009-E88FA6C365CD}</x14:id>
        </x:ext>
      </x:extLst>
    </x:cfRule>
  </x:conditionalFormatting>
  <x:conditionalFormatting sqref="E3:E107">
    <x:cfRule type="dataBar" priority="2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{0986F8BB-001A-A1EF-431A-92E3FBF7163D}</x14:id>
        </x:ext>
      </x:extLst>
    </x:cfRule>
  </x:conditionalFormatting>
  <x:conditionalFormatting sqref="F3:F107">
    <x:cfRule type="dataBar" priority="3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{C307F009-DAEC-001E-BF8E-E2A7A4C37760}</x14:id>
        </x:ext>
      </x:extLst>
    </x:cfRule>
  </x:conditionalFormatting>
  <x:conditionalFormatting sqref="G3:G107">
    <x:cfRule type="dataBar" priority="4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{31E1E33D-0CC4-6368-E106-37F5484D710E}</x14:id>
        </x:ext>
      </x:extLst>
    </x:cfRule>
  </x:conditionalFormatting>
  <x:conditionalFormatting sqref="H3:H107">
    <x:cfRule type="dataBar" priority="5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{1B2F923F-52AE-3289-E055-58296656DB9C}</x14:id>
        </x:ext>
      </x:extLst>
    </x:cfRule>
  </x:conditionalFormatting>
  <x:conditionalFormatting sqref="I3:I107">
    <x:cfRule type="dataBar" priority="6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{214F9800-76E8-A1EC-E43A-4C355C2B86E3}</x14:id>
        </x:ext>
      </x:extLst>
    </x:cfRule>
  </x:conditionalFormatting>
  <x:conditionalFormatting sqref="J3:J107">
    <x:cfRule type="dataBar" priority="7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{21C7626B-68A0-DB9D-A2B7-3AD95612E228}</x14:id>
        </x:ext>
      </x:extLst>
    </x:cfRule>
  </x:conditionalFormatting>
  <x:conditionalFormatting sqref="N3:N107">
    <x:cfRule type="dataBar" priority="8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{CE86DB10-0218-6F80-68E7-BA580504BA3C}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B7956496-98CB-42E5-3009-E88FA6C365CD}">
            <x14:dataBar gradient="1">
              <x14:cfvo type="min"/>
              <x14:cfvo type="max"/>
              <x14:fillColor rgb="FFA02B93"/>
            </x14:dataBar>
          </x14:cfRule>
          <xm:sqref>D3:D107</xm:sqref>
        </x14:conditionalFormatting>
        <x14:conditionalFormatting>
          <x14:cfRule type="dataBar" priority="2" id="{0986F8BB-001A-A1EF-431A-92E3FBF7163D}">
            <x14:dataBar gradient="1">
              <x14:cfvo type="min"/>
              <x14:cfvo type="max"/>
              <x14:fillColor rgb="FFA02B93"/>
            </x14:dataBar>
          </x14:cfRule>
          <xm:sqref>E3:E107</xm:sqref>
        </x14:conditionalFormatting>
        <x14:conditionalFormatting>
          <x14:cfRule type="dataBar" priority="3" id="{C307F009-DAEC-001E-BF8E-E2A7A4C37760}">
            <x14:dataBar gradient="1">
              <x14:cfvo type="min"/>
              <x14:cfvo type="max"/>
              <x14:fillColor rgb="FFA02B93"/>
            </x14:dataBar>
          </x14:cfRule>
          <xm:sqref>F3:F107</xm:sqref>
        </x14:conditionalFormatting>
        <x14:conditionalFormatting>
          <x14:cfRule type="dataBar" priority="4" id="{31E1E33D-0CC4-6368-E106-37F5484D710E}">
            <x14:dataBar gradient="1">
              <x14:cfvo type="min"/>
              <x14:cfvo type="max"/>
              <x14:fillColor rgb="FFA02B93"/>
            </x14:dataBar>
          </x14:cfRule>
          <xm:sqref>G3:G107</xm:sqref>
        </x14:conditionalFormatting>
        <x14:conditionalFormatting>
          <x14:cfRule type="dataBar" priority="5" id="{1B2F923F-52AE-3289-E055-58296656DB9C}">
            <x14:dataBar gradient="1">
              <x14:cfvo type="min"/>
              <x14:cfvo type="max"/>
              <x14:fillColor rgb="FFA02B93"/>
            </x14:dataBar>
          </x14:cfRule>
          <xm:sqref>H3:H107</xm:sqref>
        </x14:conditionalFormatting>
        <x14:conditionalFormatting>
          <x14:cfRule type="dataBar" priority="6" id="{214F9800-76E8-A1EC-E43A-4C355C2B86E3}">
            <x14:dataBar gradient="1">
              <x14:cfvo type="min"/>
              <x14:cfvo type="max"/>
              <x14:fillColor rgb="FFA02B93"/>
            </x14:dataBar>
          </x14:cfRule>
          <xm:sqref>I3:I107</xm:sqref>
        </x14:conditionalFormatting>
        <x14:conditionalFormatting>
          <x14:cfRule type="dataBar" priority="7" id="{21C7626B-68A0-DB9D-A2B7-3AD95612E228}">
            <x14:dataBar gradient="1">
              <x14:cfvo type="min"/>
              <x14:cfvo type="max"/>
              <x14:fillColor rgb="FFA02B93"/>
            </x14:dataBar>
          </x14:cfRule>
          <xm:sqref>J3:J107</xm:sqref>
        </x14:conditionalFormatting>
        <x14:conditionalFormatting>
          <x14:cfRule type="dataBar" priority="8" id="{CE86DB10-0218-6F80-68E7-BA580504BA3C}">
            <x14:dataBar gradient="1">
              <x14:cfvo type="min"/>
              <x14:cfvo type="max"/>
              <x14:fillColor rgb="FFA02B93"/>
            </x14:dataBar>
          </x14:cfRule>
          <xm:sqref>N3:N107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32" hidden="0" customWidth="1"/>
    <x:col min="4" max="4" width="34" hidden="0" customWidth="1"/>
  </x:cols>
  <x:sheetData>
    <x:row r="1">
      <x:c r="A1" s="26" t="str">
        <x:v>Class Builder v16 — 35人 × 3クラス用テンプレート</x:v>
      </x:c>
      <x:c r="B1" s="26" t="str"/>
      <x:c r="C1" s="26" t="str"/>
      <x:c r="D1" s="26" t="str"/>
    </x:row>
    <x:row r="2">
      <x:c r="A2" s="27" t="str">
        <x:v>項目</x:v>
      </x:c>
      <x:c r="B2" s="27" t="str">
        <x:v>型</x:v>
      </x:c>
      <x:c r="C2" s="27" t="str">
        <x:v>意味</x:v>
      </x:c>
      <x:c r="D2" s="27" t="str">
        <x:v>バランス方法</x:v>
      </x:c>
    </x:row>
    <x:row r="3">
      <x:c r="A3" s="16" t="str">
        <x:v>名前</x:v>
      </x:c>
      <x:c r="B3" s="16" t="str">
        <x:v>id</x:v>
      </x:c>
      <x:c r="C3" s="16" t="str">
        <x:v>生徒識別</x:v>
      </x:c>
      <x:c r="D3" s="16" t="str">
        <x:v>最適化しない</x:v>
      </x:c>
    </x:row>
    <x:row r="4">
      <x:c r="A4" s="16" t="str">
        <x:v>性別 / 旧クラス / 出身小学校</x:v>
      </x:c>
      <x:c r="B4" s="16" t="str">
        <x:v>category</x:v>
      </x:c>
      <x:c r="C4" s="16" t="str">
        <x:v>カテゴリ属性</x:v>
      </x:c>
      <x:c r="D4" s="16" t="str">
        <x:v>カテゴリ比率</x:v>
      </x:c>
    </x:row>
    <x:row r="5">
      <x:c r="A5" s="16" t="str">
        <x:v>国語〜社会 / 総合成績</x:v>
      </x:c>
      <x:c r="B5" s="16" t="str">
        <x:v>numeric</x:v>
      </x:c>
      <x:c r="C5" s="16" t="str">
        <x:v>点数</x:v>
      </x:c>
      <x:c r="D5" s="16" t="str">
        <x:v>クラス平均</x:v>
      </x:c>
    </x:row>
    <x:row r="6">
      <x:c r="A6" s="16" t="str">
        <x:v>リーダー / 運動</x:v>
      </x:c>
      <x:c r="B6" s="16" t="str">
        <x:v>ordinal</x:v>
      </x:c>
      <x:c r="C6" s="16" t="str">
        <x:v>1〜5などの順序尺度</x:v>
      </x:c>
      <x:c r="D6" s="16" t="str">
        <x:v>各段階の人数分布</x:v>
      </x:c>
    </x:row>
    <x:row r="7">
      <x:c r="A7" s="16" t="str">
        <x:v>要配慮 / 委員会経験</x:v>
      </x:c>
      <x:c r="B7" s="16" t="str">
        <x:v>boolean</x:v>
      </x:c>
      <x:c r="C7" s="16" t="str">
        <x:v>はい/いいえ</x:v>
      </x:c>
      <x:c r="D7" s="16" t="str">
        <x:v>該当人数</x:v>
      </x:c>
    </x:row>
    <x:row r="8">
      <x:c r="A8" s="16" t="str">
        <x:v>備考</x:v>
      </x:c>
      <x:c r="B8" s="16" t="str">
        <x:v>ignore</x:v>
      </x:c>
      <x:c r="C8" s="16" t="str">
        <x:v>参考情報</x:v>
      </x:c>
      <x:c r="D8" s="16" t="str">
        <x:v>最適化しない</x:v>
      </x:c>
    </x:row>
    <x:row r="9">
      <x:c r="A9" s="16" t="str"/>
      <x:c r="B9" s="16" t="str"/>
      <x:c r="C9" s="16" t="str"/>
      <x:c r="D9" s="16" t="str"/>
    </x:row>
    <x:row r="10">
      <x:c r="A10" s="16" t="str">
        <x:v>総合成績</x:v>
      </x:c>
      <x:c r="B10" s="16" t="str">
        <x:v>numeric</x:v>
      </x:c>
      <x:c r="C10" s="16" t="str">
        <x:v>国語・数学・英語・理科・社会の平均</x:v>
      </x:c>
      <x:c r="D10" s="16" t="str">
        <x:v>Excel式で自動更新</x:v>
      </x:c>
    </x:row>
    <x:row r="11">
      <x:c r="A11" s="16" t="str">
        <x:v>リーダー分布</x:v>
      </x:c>
      <x:c r="B11" s="16" t="str">
        <x:v>ordinal</x:v>
      </x:c>
      <x:c r="C11" s="16" t="str">
        <x:v>1:15 / 2:30 / 3:40 / 4:15 / 5:5</x:v>
      </x:c>
      <x:c r="D11" s="16" t="str">
        <x:v>5を少なめに設定</x:v>
      </x:c>
    </x:row>
    <x:row r="12">
      <x:c r="A12" s="16" t="str">
        <x:v>人数</x:v>
      </x:c>
      <x:c r="B12" s="16" t="str"/>
      <x:c r="C12" s="16" t="str">
        <x:v>105人</x:v>
      </x:c>
      <x:c r="D12" s="16" t="str">
        <x:v>3クラス×35人</x:v>
      </x:c>
    </x:row>
    <x:row r="13">
      <x:c r="A13" s="16" t="str">
        <x:v>Save As</x:v>
      </x:c>
      <x:c r="B13" s="16" t="str"/>
      <x:c r="C13" s="16" t="str">
        <x:v>アプリのプロジェクトをPCへ保存</x:v>
      </x:c>
      <x:c r="D13" s="16" t="str">
        <x:v>名簿・席配置・ルール等を保存</x:v>
      </x:c>
    </x:row>
    <x:row r="14">
      <x:c r="A14" s="16" t="str">
        <x:v>Open Project</x:v>
      </x:c>
      <x:c r="B14" s="16" t="str"/>
      <x:c r="C14" s="16" t="str">
        <x:v>保存済みプロジェクトを再開</x:v>
      </x:c>
      <x:c r="D14" s="16" t="str">
        <x:v>席配置も復元</x:v>
      </x:c>
    </x:row>
    <x:row r="16">
      <x:c r="A16" t="str">
        <x:v>点数分布</x:v>
      </x:c>
      <x:c r="B16" t="str">
        <x:v>numeric</x:v>
      </x:c>
      <x:c r="C16" t="str">
        <x:v>各生徒に基礎学力帯を設定</x:v>
      </x:c>
      <x:c r="D16" t="str">
        <x:v>教科間はある程度相関</x:v>
      </x:c>
    </x:row>
    <x:row r="17">
      <x:c r="A17" t="str">
        <x:v>教科差</x:v>
      </x:c>
      <x:c r="B17" t="str">
        <x:v>numeric</x:v>
      </x:c>
      <x:c r="C17" t="str">
        <x:v>基礎学力から通常±数点程度</x:v>
      </x:c>
      <x:c r="D17" t="str">
        <x:v>極端な凸凹を避けたサンプル</x:v>
      </x:c>
    </x:row>
    <x:row r="18">
      <x:c r="A18" t="str">
        <x:v>全体分布</x:v>
      </x:c>
      <x:c r="B18" t="str">
        <x:v>numeric</x:v>
      </x:c>
      <x:c r="C18" t="str">
        <x:v>40点台〜90点台まで広く分散</x:v>
      </x:c>
      <x:c r="D18" t="str">
        <x:v>生徒間の差は十分に確保</x:v>
      </x:c>
    </x:row>
  </x:sheetData>
  <x:mergeCells>
    <x:mergeCell ref="A1:D1"/>
  </x:mergeCells>
  <x:pageMargins left="0.7" right="0.7" top="0.75" bottom="0.75" header="0.3" footer="0.3"/>
</x:worksheet>
</file>